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7a525aac3c8a0af/Documents/projects/SBC/SBC-Landing/convert-sbc-jobs-to-json/spreadsheets/"/>
    </mc:Choice>
  </mc:AlternateContent>
  <xr:revisionPtr revIDLastSave="370" documentId="8_{80CABA76-56F5-4119-86E6-C7E152C42FB9}" xr6:coauthVersionLast="47" xr6:coauthVersionMax="47" xr10:uidLastSave="{8DBDB4CA-A4AB-4A94-85F5-ED43316C8DB0}"/>
  <bookViews>
    <workbookView xWindow="3765" yWindow="2430" windowWidth="28800" windowHeight="11295" activeTab="4" xr2:uid="{11F2C964-C01D-413B-9EBD-BC183607E2D9}"/>
  </bookViews>
  <sheets>
    <sheet name="Designer Totals Macro" sheetId="15" r:id="rId1"/>
    <sheet name="Designers" sheetId="12" r:id="rId2"/>
    <sheet name="SBC Original Data" sheetId="16" r:id="rId3"/>
    <sheet name="SBC" sheetId="1" r:id="rId4"/>
    <sheet name="Total Output Data" sheetId="17" r:id="rId5"/>
    <sheet name="James's work" sheetId="3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7" l="1"/>
  <c r="C2" i="17"/>
  <c r="E2" i="17"/>
  <c r="Q157" i="16"/>
  <c r="Q156" i="16"/>
  <c r="Q155" i="16"/>
  <c r="Q154" i="16"/>
  <c r="Q153" i="16"/>
  <c r="Q152" i="16"/>
  <c r="Q159" i="16" s="1"/>
  <c r="Q139" i="16"/>
  <c r="Q138" i="16"/>
  <c r="Q137" i="16"/>
  <c r="Q136" i="16"/>
  <c r="Q135" i="16"/>
  <c r="Q134" i="16"/>
  <c r="Q141" i="16" s="1"/>
  <c r="Q122" i="16"/>
  <c r="Q124" i="16" s="1"/>
  <c r="Q121" i="16"/>
  <c r="Q120" i="16"/>
  <c r="Q119" i="16"/>
  <c r="Q107" i="16"/>
  <c r="Q106" i="16"/>
  <c r="Q105" i="16"/>
  <c r="Q104" i="16"/>
  <c r="Q103" i="16"/>
  <c r="Q109" i="16" s="1"/>
  <c r="Q86" i="16"/>
  <c r="Q85" i="16"/>
  <c r="Q84" i="16"/>
  <c r="Q88" i="16" s="1"/>
  <c r="Q64" i="16"/>
  <c r="Q63" i="16"/>
  <c r="Q66" i="16" s="1"/>
  <c r="Q62" i="16"/>
  <c r="Q46" i="16"/>
  <c r="Q45" i="16"/>
  <c r="Q44" i="16"/>
  <c r="Q48" i="16" s="1"/>
  <c r="Q33" i="16"/>
  <c r="Q32" i="16"/>
  <c r="Q36" i="16" s="1"/>
  <c r="Q20" i="16"/>
  <c r="Q8" i="16"/>
  <c r="G118" i="3"/>
  <c r="I122" i="3" s="1"/>
  <c r="G132" i="3"/>
  <c r="G131" i="3"/>
  <c r="G130" i="3"/>
  <c r="G129" i="3"/>
  <c r="G128" i="3"/>
  <c r="G127" i="3"/>
  <c r="G126" i="3"/>
  <c r="G125" i="3"/>
  <c r="G122" i="3"/>
  <c r="G121" i="3"/>
  <c r="G120" i="3"/>
  <c r="G119" i="3"/>
  <c r="F63" i="3"/>
  <c r="F55" i="3"/>
  <c r="F44" i="3"/>
  <c r="F32" i="3"/>
  <c r="F21" i="3"/>
  <c r="F9" i="3"/>
</calcChain>
</file>

<file path=xl/sharedStrings.xml><?xml version="1.0" encoding="utf-8"?>
<sst xmlns="http://schemas.openxmlformats.org/spreadsheetml/2006/main" count="2546" uniqueCount="879">
  <si>
    <t>Job Code</t>
  </si>
  <si>
    <t>Job Name</t>
  </si>
  <si>
    <t>Address</t>
  </si>
  <si>
    <t>Framer</t>
  </si>
  <si>
    <t>GC</t>
  </si>
  <si>
    <t>sq/ft</t>
  </si>
  <si>
    <t>Interior LF</t>
  </si>
  <si>
    <t>Exterior LF</t>
  </si>
  <si>
    <t>Pre-Snap date</t>
  </si>
  <si>
    <t>Pour date</t>
  </si>
  <si>
    <t>production days</t>
  </si>
  <si>
    <t>Int / Table</t>
  </si>
  <si>
    <t>Ext / Table</t>
  </si>
  <si>
    <t>Designer</t>
  </si>
  <si>
    <t>Westlake Lot 2</t>
  </si>
  <si>
    <t>Othello station</t>
  </si>
  <si>
    <t>Westlake Lot 4</t>
  </si>
  <si>
    <t>Hotel Esterra</t>
  </si>
  <si>
    <t>Mercy Othello</t>
  </si>
  <si>
    <t>Leavenworth Hotel</t>
  </si>
  <si>
    <t xml:space="preserve">16-A </t>
  </si>
  <si>
    <t xml:space="preserve">16-B </t>
  </si>
  <si>
    <t xml:space="preserve">16-C </t>
  </si>
  <si>
    <t xml:space="preserve">16-D </t>
  </si>
  <si>
    <t xml:space="preserve">16-E </t>
  </si>
  <si>
    <t xml:space="preserve">16-F </t>
  </si>
  <si>
    <t>16-G</t>
  </si>
  <si>
    <t>Bothel Mercantile</t>
  </si>
  <si>
    <t xml:space="preserve">16-H </t>
  </si>
  <si>
    <t>Homes 2 suites</t>
  </si>
  <si>
    <t>16-I</t>
  </si>
  <si>
    <t>7th and Cherry</t>
  </si>
  <si>
    <t xml:space="preserve">16-J </t>
  </si>
  <si>
    <t>103rd ave</t>
  </si>
  <si>
    <t xml:space="preserve">16-K </t>
  </si>
  <si>
    <t>Heron</t>
  </si>
  <si>
    <t>15-A</t>
  </si>
  <si>
    <t>810 Dexter</t>
  </si>
  <si>
    <t>15-B</t>
  </si>
  <si>
    <t>15-C</t>
  </si>
  <si>
    <t>15-E</t>
  </si>
  <si>
    <t>7th &amp; Gilman</t>
  </si>
  <si>
    <t>Columbia Heights</t>
  </si>
  <si>
    <t>15-F</t>
  </si>
  <si>
    <t>85th and 1st</t>
  </si>
  <si>
    <t>15-H</t>
  </si>
  <si>
    <t>Junction Flats</t>
  </si>
  <si>
    <t xml:space="preserve">15-I </t>
  </si>
  <si>
    <t xml:space="preserve">15-J </t>
  </si>
  <si>
    <t>Merril Gardens</t>
  </si>
  <si>
    <t>Cascade 2</t>
  </si>
  <si>
    <t>15-M</t>
  </si>
  <si>
    <t>Downtowner 2</t>
  </si>
  <si>
    <t xml:space="preserve">15-O </t>
  </si>
  <si>
    <t>Lake City Place</t>
  </si>
  <si>
    <t>17-B</t>
  </si>
  <si>
    <t>17-C</t>
  </si>
  <si>
    <t>17-D</t>
  </si>
  <si>
    <t>Valdok</t>
  </si>
  <si>
    <t>Interbay</t>
  </si>
  <si>
    <t>Arbora Court</t>
  </si>
  <si>
    <t>17-E</t>
  </si>
  <si>
    <t>Rita Street</t>
  </si>
  <si>
    <t>17-F</t>
  </si>
  <si>
    <t>Sedona</t>
  </si>
  <si>
    <t>17-H</t>
  </si>
  <si>
    <t xml:space="preserve">17-I </t>
  </si>
  <si>
    <t>Redmond 148</t>
  </si>
  <si>
    <t xml:space="preserve">17-J </t>
  </si>
  <si>
    <t>Sonata</t>
  </si>
  <si>
    <t>1706 Valdok II</t>
  </si>
  <si>
    <t>17-K</t>
  </si>
  <si>
    <t xml:space="preserve">17-L </t>
  </si>
  <si>
    <t>Brava</t>
  </si>
  <si>
    <t>Woodin Creek II</t>
  </si>
  <si>
    <t>40xx 116th st N.E., Marysville Wa 98270</t>
  </si>
  <si>
    <t>Superior</t>
  </si>
  <si>
    <t>Vandervert</t>
  </si>
  <si>
    <t>710 Cherry Street, Seattle Wa 98104</t>
  </si>
  <si>
    <t>walsh</t>
  </si>
  <si>
    <t>10201 Main Street  Bothell Wa 98011</t>
  </si>
  <si>
    <t>Venture</t>
  </si>
  <si>
    <t>Northgate Apartments East</t>
  </si>
  <si>
    <t>Northgate Apartments West</t>
  </si>
  <si>
    <t>10720 5th ave ne seattle wa</t>
  </si>
  <si>
    <t>10715 8th ave ne seattle wa</t>
  </si>
  <si>
    <t>1701 NW 56TH STREET, Seattle Wa 98107</t>
  </si>
  <si>
    <t>Compass</t>
  </si>
  <si>
    <t>4738 15th Avenue Ne, Seattle Wa 98105</t>
  </si>
  <si>
    <t xml:space="preserve">Walsh </t>
  </si>
  <si>
    <t>3004 S. Alaska Street, Seattle Wa 98108</t>
  </si>
  <si>
    <t>1706 NW 56TH ST, Seattle Wa 98107</t>
  </si>
  <si>
    <t>lennar</t>
  </si>
  <si>
    <t>1085 103rd Avenue Bellevue, Wa 98004</t>
  </si>
  <si>
    <t>Premier</t>
  </si>
  <si>
    <t>Chinn</t>
  </si>
  <si>
    <t>3040 NE 148th Ave, Redmond Wa</t>
  </si>
  <si>
    <t>Halverson</t>
  </si>
  <si>
    <t>17-A1</t>
  </si>
  <si>
    <t>17-A2</t>
  </si>
  <si>
    <t>1232 Harrison Bldg B</t>
  </si>
  <si>
    <t>1212 Harrison Bldg A</t>
  </si>
  <si>
    <t>1212/1232 Harrison Seattle wa</t>
  </si>
  <si>
    <t>Overland</t>
  </si>
  <si>
    <t>holland</t>
  </si>
  <si>
    <t>Davey</t>
  </si>
  <si>
    <t>3230 16th Ave, Seattle Wa, 98104</t>
  </si>
  <si>
    <t>BYK</t>
  </si>
  <si>
    <t>1005 Rita St, Sedro-Woolley WA 98284</t>
  </si>
  <si>
    <t>2220 E Union Street, Seattle Wa</t>
  </si>
  <si>
    <t>Pac-Rim</t>
  </si>
  <si>
    <t>CDK</t>
  </si>
  <si>
    <t>17-M Bldg 2A</t>
  </si>
  <si>
    <t>W.G. Clark</t>
  </si>
  <si>
    <t>17-M Bldg 2B</t>
  </si>
  <si>
    <t>17-M Bldg 2D</t>
  </si>
  <si>
    <t>17-G1</t>
  </si>
  <si>
    <t>17-G2</t>
  </si>
  <si>
    <t>Marymoor Park Alexan A&amp;B</t>
  </si>
  <si>
    <t>Marymoor Park Alexan C</t>
  </si>
  <si>
    <t>6335 180th Place NE, Redmond Wa, 98502</t>
  </si>
  <si>
    <t>venture</t>
  </si>
  <si>
    <t>James</t>
  </si>
  <si>
    <t xml:space="preserve">15-K </t>
  </si>
  <si>
    <t>Legacy Hadley Mercer Island</t>
  </si>
  <si>
    <t>Mike</t>
  </si>
  <si>
    <t>15-N Phase 2</t>
  </si>
  <si>
    <t>Whittaker South</t>
  </si>
  <si>
    <t>15-N Phase 1</t>
  </si>
  <si>
    <t>Whittaker North</t>
  </si>
  <si>
    <t>Erik</t>
  </si>
  <si>
    <t>MIke</t>
  </si>
  <si>
    <t>Mike/James started</t>
  </si>
  <si>
    <t>Cascade 1</t>
  </si>
  <si>
    <t>15-L bldg 1</t>
  </si>
  <si>
    <t>15-L bldg 2</t>
  </si>
  <si>
    <t>Hotel concepts</t>
  </si>
  <si>
    <t xml:space="preserve">Superior </t>
  </si>
  <si>
    <t>Hallmark</t>
  </si>
  <si>
    <t>Rush</t>
  </si>
  <si>
    <t>G-builders</t>
  </si>
  <si>
    <t>Holland</t>
  </si>
  <si>
    <t>Mike/Davey</t>
  </si>
  <si>
    <t>James/Davey</t>
  </si>
  <si>
    <t>James/Joe</t>
  </si>
  <si>
    <t>Walsh</t>
  </si>
  <si>
    <t>Absher</t>
  </si>
  <si>
    <t>W.G.Clark</t>
  </si>
  <si>
    <t>14-A</t>
  </si>
  <si>
    <t>14-B</t>
  </si>
  <si>
    <t>14-C</t>
  </si>
  <si>
    <t>14-D</t>
  </si>
  <si>
    <t xml:space="preserve">14-E </t>
  </si>
  <si>
    <t>14-F</t>
  </si>
  <si>
    <t>14-G</t>
  </si>
  <si>
    <t xml:space="preserve">14-H </t>
  </si>
  <si>
    <t>14-H</t>
  </si>
  <si>
    <t>14-I</t>
  </si>
  <si>
    <t>14-J</t>
  </si>
  <si>
    <t>14-L</t>
  </si>
  <si>
    <t>BEL RED 1</t>
  </si>
  <si>
    <t>12 AVE</t>
  </si>
  <si>
    <t>GARFIELD STATION</t>
  </si>
  <si>
    <t>ANGELINE</t>
  </si>
  <si>
    <t>BALLARD LOFT</t>
  </si>
  <si>
    <t>DISCOVERY BLDG F</t>
  </si>
  <si>
    <t>DISCOVERY BLDG A</t>
  </si>
  <si>
    <t>ANTHEM</t>
  </si>
  <si>
    <t>BEL RED 2</t>
  </si>
  <si>
    <t>VANTAGE POINT</t>
  </si>
  <si>
    <t>PACRIM</t>
  </si>
  <si>
    <t>SUPERIOR</t>
  </si>
  <si>
    <t>HALLMARK</t>
  </si>
  <si>
    <t>VENTURE</t>
  </si>
  <si>
    <t xml:space="preserve">PAVALION </t>
  </si>
  <si>
    <t>KORSMO</t>
  </si>
  <si>
    <t>SD-DEACON</t>
  </si>
  <si>
    <t>BALLARD LOFTS</t>
  </si>
  <si>
    <t>WALSH</t>
  </si>
  <si>
    <t>JAMES</t>
  </si>
  <si>
    <t>JAMES / MIKE 50%</t>
  </si>
  <si>
    <t>ERIK</t>
  </si>
  <si>
    <t xml:space="preserve">MIKE 75%/JAMES 25% </t>
  </si>
  <si>
    <t>JAMES / MIKE HELPED EXTERIOR</t>
  </si>
  <si>
    <t>MIKE / JAMES START 1/2 OF 1ST FLOOR</t>
  </si>
  <si>
    <t>chinn</t>
  </si>
  <si>
    <t>Anderson</t>
  </si>
  <si>
    <t>Deacon</t>
  </si>
  <si>
    <t>SRM</t>
  </si>
  <si>
    <t>West Seattle Construction</t>
  </si>
  <si>
    <t>james</t>
  </si>
  <si>
    <t>Davey/Mike</t>
  </si>
  <si>
    <t xml:space="preserve">13-A </t>
  </si>
  <si>
    <t>Queen Anne Apartments</t>
  </si>
  <si>
    <t>Ilara</t>
  </si>
  <si>
    <t>The Blake</t>
  </si>
  <si>
    <t>Fiora</t>
  </si>
  <si>
    <t>Positano</t>
  </si>
  <si>
    <t>James / Mike</t>
  </si>
  <si>
    <t>Ashway Tavalli</t>
  </si>
  <si>
    <t>15631 Ash way, Lynnwood WA 98087</t>
  </si>
  <si>
    <t>Calhoun</t>
  </si>
  <si>
    <t>LaFond Framing</t>
  </si>
  <si>
    <t>3642 Woodland Park Ave N, Seattle Wa 98103</t>
  </si>
  <si>
    <t>6420 24th Ave NW, Seattle, WA 98107</t>
  </si>
  <si>
    <t>5601 24th Ave NW, Seattle, WA 98107</t>
  </si>
  <si>
    <t>1900 Queen Anne Ave N, Seattle, WA 98109</t>
  </si>
  <si>
    <t>1287 Westlake Ave N, Seattle, WA 98109</t>
  </si>
  <si>
    <t>1207 Westlake Ave N, Seattle, WA 98109</t>
  </si>
  <si>
    <t>4433 42nd Ave SW, Seattle, WA 98116</t>
  </si>
  <si>
    <t>5020 California Ave SW, Seattle, WA 98136</t>
  </si>
  <si>
    <t>13-B</t>
  </si>
  <si>
    <t>4755 Fauntleroy Way SW, Seattle, WA 98116</t>
  </si>
  <si>
    <t>2311 32nd Ave NE, Seattle, WA 98125</t>
  </si>
  <si>
    <t>4119 12th Ave NE, Seattle, WA 98105</t>
  </si>
  <si>
    <t>4106 12th Ave Ne, Seattle, WA 98105</t>
  </si>
  <si>
    <t>41ST  Nora</t>
  </si>
  <si>
    <t>Portage Bay</t>
  </si>
  <si>
    <t>4036 8th Ave NE, Seattle, WA 98105</t>
  </si>
  <si>
    <t>Lafond Framing</t>
  </si>
  <si>
    <t>305 E Mercer St, Seattle, WA 98102</t>
  </si>
  <si>
    <t>221 Minor Ave N, Seattle WA 98109</t>
  </si>
  <si>
    <t>210 Fairview Ave N, Seattle, WA 98109</t>
  </si>
  <si>
    <t>810 Dexter Ave N, Seattle, WA 98109</t>
  </si>
  <si>
    <t>123 4th Ave W, Olympia, WA 98501</t>
  </si>
  <si>
    <t>323 Garfield St S, Parkland, WA 98444</t>
  </si>
  <si>
    <t>1709 S G St, Tacoma, WA 98405</t>
  </si>
  <si>
    <t>Tacoma Senior Housing Ph2</t>
  </si>
  <si>
    <t>1050 7th Ave NW, Issaquah, WA 98027</t>
  </si>
  <si>
    <t>736 8th Ave NE, Issaquah, WA 98029</t>
  </si>
  <si>
    <t>2170 Bel-Red Rd, Bellevue WA 98007</t>
  </si>
  <si>
    <t>15588 NE 22nd Place, Bellevue 98077</t>
  </si>
  <si>
    <t>15220 NE Shen St, Redmond, WA 98052</t>
  </si>
  <si>
    <t>1516 NW 51st St, Seattle, WA 98107</t>
  </si>
  <si>
    <t>Ballard 91 (Vive)</t>
  </si>
  <si>
    <t>2601 76th Ave SE, Mercer Island, WA 98040</t>
  </si>
  <si>
    <t>418 S Jackson St, Seattle, WA 98104</t>
  </si>
  <si>
    <t>103 12th Ave, Seattle, WA 98122</t>
  </si>
  <si>
    <t>4801 Rainier Ave S, Seattle, WA 98118</t>
  </si>
  <si>
    <t>4200 S Othello St, Seattle, WA 98118</t>
  </si>
  <si>
    <t>6940 Martin Luther King Jr Way S</t>
  </si>
  <si>
    <t>17901 105th Pl SE, Renton, WA 98055</t>
  </si>
  <si>
    <t>301 Ward Strasse, Leavenworth, WA 98826</t>
  </si>
  <si>
    <t>121 NW 85th St, Seattle, WA 98117</t>
  </si>
  <si>
    <t>7662 159th Pl NE, Redmond, WA 98052</t>
  </si>
  <si>
    <t>1510 NW 52nd St, Seattle, WA 98107</t>
  </si>
  <si>
    <t>13-C</t>
  </si>
  <si>
    <t>18-A</t>
  </si>
  <si>
    <t>18-B Bldg 3</t>
  </si>
  <si>
    <t>18-B Bldg 2</t>
  </si>
  <si>
    <t>18-B Bldg 1</t>
  </si>
  <si>
    <t>18-A Bldg C</t>
  </si>
  <si>
    <t>18-A Bldg B S</t>
  </si>
  <si>
    <t>18-A Bldg B N</t>
  </si>
  <si>
    <t>Esterra Park building 6A</t>
  </si>
  <si>
    <t>Esterra Park Building B North</t>
  </si>
  <si>
    <t>Esterra Park Building B South</t>
  </si>
  <si>
    <t>Esterra Park Building C</t>
  </si>
  <si>
    <t>18-B Main Street Building 1</t>
  </si>
  <si>
    <t>18-B Main Street Building 2</t>
  </si>
  <si>
    <t>18-B Main Street Building 3</t>
  </si>
  <si>
    <t>15551 Turing st. Redmond Wa 98052</t>
  </si>
  <si>
    <t>15401 Ne Turing, Redmond Wa 98052</t>
  </si>
  <si>
    <t>106th Ave NE &amp; Main St, Bellevue, WA 98004</t>
  </si>
  <si>
    <t>18-D</t>
  </si>
  <si>
    <t>3040 Bellevue</t>
  </si>
  <si>
    <t>3040 Belleveu Way NE</t>
  </si>
  <si>
    <t>18-E</t>
  </si>
  <si>
    <t>403 Dexter</t>
  </si>
  <si>
    <t>403 Dexter Ave N  Seattle WA 98109</t>
  </si>
  <si>
    <t>synergy</t>
  </si>
  <si>
    <t>18-F</t>
  </si>
  <si>
    <t xml:space="preserve">Giardino </t>
  </si>
  <si>
    <t>18-G</t>
  </si>
  <si>
    <t>Werner</t>
  </si>
  <si>
    <t>3046 17th Avenue West Seattle 98106</t>
  </si>
  <si>
    <t>Kamin</t>
  </si>
  <si>
    <t>18-H</t>
  </si>
  <si>
    <t>La Quinta Hotel</t>
  </si>
  <si>
    <t>1750 S. Burlington Blvd. Burlington Wa 98233</t>
  </si>
  <si>
    <t>?</t>
  </si>
  <si>
    <t>Faber</t>
  </si>
  <si>
    <t>18-J</t>
  </si>
  <si>
    <t>Arabella</t>
  </si>
  <si>
    <t>1221 NE 180th St. Shoreline, WA 98155</t>
  </si>
  <si>
    <t xml:space="preserve">18-K </t>
  </si>
  <si>
    <t>Totem Lake</t>
  </si>
  <si>
    <t>12655 120th Avenue NE Kirkland WA 98034</t>
  </si>
  <si>
    <t xml:space="preserve">18-L </t>
  </si>
  <si>
    <t>14th and Madision</t>
  </si>
  <si>
    <t>1401 East Madison Street, Seattle Wa 98122</t>
  </si>
  <si>
    <t>CHINN</t>
  </si>
  <si>
    <t>18-M</t>
  </si>
  <si>
    <t>5th &amp; Roy</t>
  </si>
  <si>
    <t>701 5th Ave Seattle wa</t>
  </si>
  <si>
    <t>FMC</t>
  </si>
  <si>
    <t>18-N</t>
  </si>
  <si>
    <t>Woodin Creek bldg 2C</t>
  </si>
  <si>
    <t>18-O</t>
  </si>
  <si>
    <t>Rainier Court</t>
  </si>
  <si>
    <t>3616 34th Ave S Seattle WA 98144</t>
  </si>
  <si>
    <t>Ceilo Apodment</t>
  </si>
  <si>
    <t>18-P north</t>
  </si>
  <si>
    <t>18-P South</t>
  </si>
  <si>
    <t>4520 7th Ave Ne Seattle Wa 98107</t>
  </si>
  <si>
    <t>lafond</t>
  </si>
  <si>
    <t>4524 7th Ave Ne Seattle Wa 98107</t>
  </si>
  <si>
    <t>mike</t>
  </si>
  <si>
    <t xml:space="preserve">18-Q </t>
  </si>
  <si>
    <t>U-Place Apartments</t>
  </si>
  <si>
    <t>4609 Union Place NE. Seattle WA 98105</t>
  </si>
  <si>
    <t>superior</t>
  </si>
  <si>
    <t>18-R</t>
  </si>
  <si>
    <t>23rd &amp; Jackson</t>
  </si>
  <si>
    <t>2212 &amp; 2214 S Jackson Street, Seattle Wa, 98144</t>
  </si>
  <si>
    <t xml:space="preserve">Marpac </t>
  </si>
  <si>
    <t>1514 NW 52nd St, Seattle, WA 98107</t>
  </si>
  <si>
    <t>19-A bldg A</t>
  </si>
  <si>
    <t>19-A bldg B</t>
  </si>
  <si>
    <t>19-A bldg C</t>
  </si>
  <si>
    <t>Capitol Hill TOD building A</t>
  </si>
  <si>
    <t>Capitol Hill TOD building B</t>
  </si>
  <si>
    <t>Capitol Hill TOD building C</t>
  </si>
  <si>
    <t>118 Braodway E Seattle WA 98102</t>
  </si>
  <si>
    <t>JRT</t>
  </si>
  <si>
    <t>lease crutcher lewis</t>
  </si>
  <si>
    <t>123 10th Ave Seattle WA 98102</t>
  </si>
  <si>
    <t>1830 Broadway Seattle WA 98102</t>
  </si>
  <si>
    <t>davey</t>
  </si>
  <si>
    <t>19-C</t>
  </si>
  <si>
    <t>Wesly homes Phase 2</t>
  </si>
  <si>
    <t>815 S. 216th St Des Moines WA 98189</t>
  </si>
  <si>
    <t>19-E</t>
  </si>
  <si>
    <t>Capital Hill bldg B North</t>
  </si>
  <si>
    <t>923 E John St Seattle Wa 98102</t>
  </si>
  <si>
    <t>3100 S 192nd Street, Seatac Wa 98188</t>
  </si>
  <si>
    <t>Braseth Construction</t>
  </si>
  <si>
    <t>19-F</t>
  </si>
  <si>
    <t>Country Inn &amp; Suites</t>
  </si>
  <si>
    <t>19-G</t>
  </si>
  <si>
    <t>faber</t>
  </si>
  <si>
    <t>19-H</t>
  </si>
  <si>
    <t>Esterra Block 10</t>
  </si>
  <si>
    <t>2651 156th AVE NE</t>
  </si>
  <si>
    <t>19-I</t>
  </si>
  <si>
    <t>Aprils Grove</t>
  </si>
  <si>
    <t>Eastsound WA 98245</t>
  </si>
  <si>
    <t>Dawson</t>
  </si>
  <si>
    <t>19-J</t>
  </si>
  <si>
    <t>Lago Apodment</t>
  </si>
  <si>
    <t>10610 Meridian Ave N Seattle Wa</t>
  </si>
  <si>
    <t>La fond</t>
  </si>
  <si>
    <t>calhoun</t>
  </si>
  <si>
    <t xml:space="preserve">19-K </t>
  </si>
  <si>
    <t>2524 Jackson</t>
  </si>
  <si>
    <t>2524 S Jackson St Seattle Wa 98144</t>
  </si>
  <si>
    <t xml:space="preserve">JRT </t>
  </si>
  <si>
    <t xml:space="preserve">W.G. clark </t>
  </si>
  <si>
    <t>19-L</t>
  </si>
  <si>
    <t>16300 Meadow RD. Lynnwood Wa 98087</t>
  </si>
  <si>
    <t>Kirtley Cole</t>
  </si>
  <si>
    <t>Greater Residence</t>
  </si>
  <si>
    <t>19-M</t>
  </si>
  <si>
    <t>Hub City</t>
  </si>
  <si>
    <t>byk</t>
  </si>
  <si>
    <t>260 E George Hopper Rd, Burlington, WA 98233</t>
  </si>
  <si>
    <t>19-N</t>
  </si>
  <si>
    <t>DESC 22nd Ave North Bldg</t>
  </si>
  <si>
    <t>1911-1923 22nd Ave S. Seattle WA 98144</t>
  </si>
  <si>
    <t>19-O bldg A</t>
  </si>
  <si>
    <t>19-O bldg B</t>
  </si>
  <si>
    <t>19-O bldg C</t>
  </si>
  <si>
    <t>17101 133rd AVE Ne Woodinville Wa 98072</t>
  </si>
  <si>
    <t>gen-cap</t>
  </si>
  <si>
    <t>Woodinville campus bldg A</t>
  </si>
  <si>
    <t>Woodinville campus bldg B</t>
  </si>
  <si>
    <t>Woodinville campus bldg C</t>
  </si>
  <si>
    <t xml:space="preserve">19-X </t>
  </si>
  <si>
    <t>Auburn Town Center</t>
  </si>
  <si>
    <t>19-Z</t>
  </si>
  <si>
    <t>20-A</t>
  </si>
  <si>
    <t>20-B</t>
  </si>
  <si>
    <t>20-C</t>
  </si>
  <si>
    <t>20-D</t>
  </si>
  <si>
    <t>20-E</t>
  </si>
  <si>
    <t>20-F</t>
  </si>
  <si>
    <t>20-G</t>
  </si>
  <si>
    <t>20-H</t>
  </si>
  <si>
    <t>20-I</t>
  </si>
  <si>
    <t>20-J</t>
  </si>
  <si>
    <t>20-K</t>
  </si>
  <si>
    <t>20-L</t>
  </si>
  <si>
    <t>20-M</t>
  </si>
  <si>
    <t>Pioneer Belmont</t>
  </si>
  <si>
    <t>Colina West</t>
  </si>
  <si>
    <t>Colina East</t>
  </si>
  <si>
    <t>Legacy West bldg A</t>
  </si>
  <si>
    <t xml:space="preserve">Legacy West bldg B </t>
  </si>
  <si>
    <t>1717-1723 belmont AVE</t>
  </si>
  <si>
    <t>4722 Fauntlerory west Seattle.</t>
  </si>
  <si>
    <t>4721 38th Ave SW, west Seattle</t>
  </si>
  <si>
    <t>compass</t>
  </si>
  <si>
    <t>2710 Beacon Ave S seattle Wa 98144</t>
  </si>
  <si>
    <t xml:space="preserve">walsh </t>
  </si>
  <si>
    <t>2709 17th ave south seattle WA 98144</t>
  </si>
  <si>
    <t xml:space="preserve">312 Central </t>
  </si>
  <si>
    <t>312 Central Way Kirkland WA 98303</t>
  </si>
  <si>
    <t>w.g. clark</t>
  </si>
  <si>
    <t>Mid town Building A</t>
  </si>
  <si>
    <t>Mid town Building B</t>
  </si>
  <si>
    <t>2301 E Union St Seattle Wa</t>
  </si>
  <si>
    <t>Jade Residence</t>
  </si>
  <si>
    <t>11903 NE 128th St, Kirkland WA 98034</t>
  </si>
  <si>
    <t>Terrene Ventures</t>
  </si>
  <si>
    <t>417 2nd Ave W Seattle WA</t>
  </si>
  <si>
    <t>pac-rim</t>
  </si>
  <si>
    <t>Joe</t>
  </si>
  <si>
    <t>Sonata West</t>
  </si>
  <si>
    <t>4689 Martin Luther King Jr. Way S, Seattle WA 98108</t>
  </si>
  <si>
    <t>Orenda At Othello Square</t>
  </si>
  <si>
    <t xml:space="preserve">3939 S. Othello St, Seattle WA </t>
  </si>
  <si>
    <t>Tremezzo North</t>
  </si>
  <si>
    <t>Kellogg Road Bellingham</t>
  </si>
  <si>
    <t>josh</t>
  </si>
  <si>
    <t>417 2nd Ave</t>
  </si>
  <si>
    <t>Aegis Carkeek park</t>
  </si>
  <si>
    <t>10000 NW Holman RD,  Seattle Wa 98177</t>
  </si>
  <si>
    <t xml:space="preserve">Venture </t>
  </si>
  <si>
    <t>joe</t>
  </si>
  <si>
    <t>Lihi Othello</t>
  </si>
  <si>
    <t>7357 43rd AVE S, Seattle Wa 98118</t>
  </si>
  <si>
    <t>Yesler terrace</t>
  </si>
  <si>
    <t>209 12th avenue south Seattle wa 98104</t>
  </si>
  <si>
    <t>21-A</t>
  </si>
  <si>
    <t>21-B</t>
  </si>
  <si>
    <t>21-C</t>
  </si>
  <si>
    <t>21-D</t>
  </si>
  <si>
    <t>21-E</t>
  </si>
  <si>
    <t>21-F</t>
  </si>
  <si>
    <t>21-G</t>
  </si>
  <si>
    <t>21-H</t>
  </si>
  <si>
    <t>21-I</t>
  </si>
  <si>
    <t>21-L</t>
  </si>
  <si>
    <t>21-X</t>
  </si>
  <si>
    <t>Cedar Crossing</t>
  </si>
  <si>
    <t>6600 Roosevelt way ne seattle wa 98155</t>
  </si>
  <si>
    <t>1020 South main street Seattle wa 98104</t>
  </si>
  <si>
    <t>Yesler terrace B</t>
  </si>
  <si>
    <t>Villa Element</t>
  </si>
  <si>
    <t>12625 NE Woodinville Dr  Woodinville WA 98072</t>
  </si>
  <si>
    <t>sys</t>
  </si>
  <si>
    <t>1925 East college way Mt. Vernon Wa</t>
  </si>
  <si>
    <t>8505 132nd ave NE kirkland Wa 98033</t>
  </si>
  <si>
    <t>W.G. CLARK</t>
  </si>
  <si>
    <t>Continental Divide</t>
  </si>
  <si>
    <t>DESC 22nd Ave South Bldg</t>
  </si>
  <si>
    <t>953-Hodgin St. Sedro Woolley Wa 98284</t>
  </si>
  <si>
    <t>janicki</t>
  </si>
  <si>
    <t>Gateway village</t>
  </si>
  <si>
    <t>2715 &amp; 2719 California Ave, Seattle WA 98116</t>
  </si>
  <si>
    <t>Admiral Station</t>
  </si>
  <si>
    <t>2802 S Mcclellan St Seattle WA 98144</t>
  </si>
  <si>
    <t>2800 MLK jr way S, Seattle Wa</t>
  </si>
  <si>
    <t xml:space="preserve">Premier </t>
  </si>
  <si>
    <t xml:space="preserve">Maddux North </t>
  </si>
  <si>
    <t>Maddux South</t>
  </si>
  <si>
    <t>Josh</t>
  </si>
  <si>
    <t>Uncle Bob's</t>
  </si>
  <si>
    <t>714 S King Street Seattle Wa</t>
  </si>
  <si>
    <t>Marpac</t>
  </si>
  <si>
    <t>LamBow Apartments</t>
  </si>
  <si>
    <t>6935-6955 Delridge WA sw 98106</t>
  </si>
  <si>
    <t>1942 Fawcett</t>
  </si>
  <si>
    <t>overland</t>
  </si>
  <si>
    <t>Marina Square hotel</t>
  </si>
  <si>
    <t>Marina Square residential</t>
  </si>
  <si>
    <t>280 Washington Ave Bremerton, WA 98377</t>
  </si>
  <si>
    <t>22-A</t>
  </si>
  <si>
    <t>22-B</t>
  </si>
  <si>
    <t>22-C</t>
  </si>
  <si>
    <t>22-D</t>
  </si>
  <si>
    <t>22-E</t>
  </si>
  <si>
    <t>22-F</t>
  </si>
  <si>
    <t>22-G</t>
  </si>
  <si>
    <t>22-H</t>
  </si>
  <si>
    <t>22-I</t>
  </si>
  <si>
    <t>22-J</t>
  </si>
  <si>
    <t>22-M</t>
  </si>
  <si>
    <t>22-N</t>
  </si>
  <si>
    <t>22-Q</t>
  </si>
  <si>
    <t>22-R</t>
  </si>
  <si>
    <t>22-P</t>
  </si>
  <si>
    <t>22-L</t>
  </si>
  <si>
    <t>22-O</t>
  </si>
  <si>
    <t>Africatown</t>
  </si>
  <si>
    <t>Four Corners building C</t>
  </si>
  <si>
    <t>Four Corners building D</t>
  </si>
  <si>
    <t>Sawara</t>
  </si>
  <si>
    <t>Grand Street West</t>
  </si>
  <si>
    <t>Grand Street South</t>
  </si>
  <si>
    <t>12th and Yesler</t>
  </si>
  <si>
    <t>104 12th Ave Seattle Wa 98122</t>
  </si>
  <si>
    <t xml:space="preserve">W.G. Clark </t>
  </si>
  <si>
    <t>Eliseo Tacoma HH</t>
  </si>
  <si>
    <t>1301 N Highlands Parkway Tacoma WA 98406</t>
  </si>
  <si>
    <t xml:space="preserve">22-B </t>
  </si>
  <si>
    <t>Eliseo Tacoma IL</t>
  </si>
  <si>
    <t>southsound</t>
  </si>
  <si>
    <t>Corner 63</t>
  </si>
  <si>
    <t>6300 9th Ave NE Seattle, Wa 98115</t>
  </si>
  <si>
    <t>James /steve/stevie</t>
  </si>
  <si>
    <t>Skagit Valley Supportive Housing</t>
  </si>
  <si>
    <t>622 Rainier NE Building</t>
  </si>
  <si>
    <t>622 Rainier Ave S, Seattle WA 98144</t>
  </si>
  <si>
    <t>622 Rainier NW Building</t>
  </si>
  <si>
    <t>622 Rainier S Building</t>
  </si>
  <si>
    <t>W.G. Clark.</t>
  </si>
  <si>
    <t>Siteline</t>
  </si>
  <si>
    <t>223 Taylor Ave North Seatlle WA 98109</t>
  </si>
  <si>
    <t>1405 Dexter</t>
  </si>
  <si>
    <t>1405 Dexter Ave North Seattle WA 98109</t>
  </si>
  <si>
    <t xml:space="preserve">chinn </t>
  </si>
  <si>
    <t xml:space="preserve">Eldridge </t>
  </si>
  <si>
    <t>1513, Broadway Seattle WA 98122</t>
  </si>
  <si>
    <t>Elizabeth Thomas Homes</t>
  </si>
  <si>
    <t>4524 S. Henderson Street Seattle WA 98118</t>
  </si>
  <si>
    <t>Bellwether Linden</t>
  </si>
  <si>
    <t>916 N 143rd ST Seattle WA 98133</t>
  </si>
  <si>
    <t>Liza</t>
  </si>
  <si>
    <t>2517 EastLake AVE E. Seattle Wa 98102</t>
  </si>
  <si>
    <t>Grand Street East</t>
  </si>
  <si>
    <t>1750 22nd AVE S Seattle WA 98144</t>
  </si>
  <si>
    <t>1765 22nd Ave S Seattle Wa 98144</t>
  </si>
  <si>
    <t>8102 Evergreen Way, Everett WA 98203</t>
  </si>
  <si>
    <t>hallmark</t>
  </si>
  <si>
    <t>heartland</t>
  </si>
  <si>
    <t>steve</t>
  </si>
  <si>
    <t>1100 23rd Ave Seattle Wa 98122</t>
  </si>
  <si>
    <t>absher</t>
  </si>
  <si>
    <t>Wesley Homes III</t>
  </si>
  <si>
    <t>815 216th St Des Moines Wa 98189</t>
  </si>
  <si>
    <t xml:space="preserve">Stevie </t>
  </si>
  <si>
    <t>Moraine</t>
  </si>
  <si>
    <t>1402 Tacoma Avenue S Tacoma WA 98402</t>
  </si>
  <si>
    <t>101 8th Avenue Seattle WA 98104</t>
  </si>
  <si>
    <t>0-L</t>
  </si>
  <si>
    <t>Uwajimaya</t>
  </si>
  <si>
    <t>PacRim</t>
  </si>
  <si>
    <t>Simpson Housing</t>
  </si>
  <si>
    <t>0-N</t>
  </si>
  <si>
    <t>0-Q</t>
  </si>
  <si>
    <t>Fountain Plaza /Solara</t>
  </si>
  <si>
    <t>0-S</t>
  </si>
  <si>
    <t>Ballard Mixed use</t>
  </si>
  <si>
    <t>0-X</t>
  </si>
  <si>
    <t>Overlake</t>
  </si>
  <si>
    <t>2000 YEARLY TOTAL SQUARE FOOTAGE</t>
  </si>
  <si>
    <t>1-Y</t>
  </si>
  <si>
    <t>SouthPort</t>
  </si>
  <si>
    <t>Mego</t>
  </si>
  <si>
    <t>Premier?</t>
  </si>
  <si>
    <t>2650 152nd Ave N.E. Redmond WA 98052</t>
  </si>
  <si>
    <t>1-Z</t>
  </si>
  <si>
    <t>Dally Homes</t>
  </si>
  <si>
    <t>1-B</t>
  </si>
  <si>
    <t>Superior Structures</t>
  </si>
  <si>
    <t>Fortune Group</t>
  </si>
  <si>
    <t xml:space="preserve">1-C </t>
  </si>
  <si>
    <t>1-D</t>
  </si>
  <si>
    <t>Carrolls Creek Landing</t>
  </si>
  <si>
    <t>1-E</t>
  </si>
  <si>
    <t>1-F (interiors by hand)</t>
  </si>
  <si>
    <t>Lake Union View</t>
  </si>
  <si>
    <t>1-G</t>
  </si>
  <si>
    <t>1-H</t>
  </si>
  <si>
    <t>Intracorp</t>
  </si>
  <si>
    <t>1-J</t>
  </si>
  <si>
    <t>Madison View</t>
  </si>
  <si>
    <t>Senergy</t>
  </si>
  <si>
    <t>1-K</t>
  </si>
  <si>
    <t>Monesano</t>
  </si>
  <si>
    <t>HMI</t>
  </si>
  <si>
    <t>2001 YEARLY TOTAL SQUARE FOOTAGE</t>
  </si>
  <si>
    <t>2-L</t>
  </si>
  <si>
    <t>Avalon</t>
  </si>
  <si>
    <t>2-O</t>
  </si>
  <si>
    <t>12th and Columbia</t>
  </si>
  <si>
    <t>600 East Pine Street Seattle WA 98211</t>
  </si>
  <si>
    <t>Press / Heath Property</t>
  </si>
  <si>
    <t>2015 SW Avalon Way Seattle WA 98126-2603</t>
  </si>
  <si>
    <t>728 12th Avenue Seattle WA</t>
  </si>
  <si>
    <t>4020 Aurora Avenue North Seattle WA</t>
  </si>
  <si>
    <t>2901 N.E. Blakely St Seattle WA</t>
  </si>
  <si>
    <t>18111 25th Ave. Arlington WA 98223</t>
  </si>
  <si>
    <t>Metropolitan Place</t>
  </si>
  <si>
    <t>232 Burnett Ave. S. Renton WA</t>
  </si>
  <si>
    <t>2-M</t>
  </si>
  <si>
    <t>1st and Denny</t>
  </si>
  <si>
    <t>2-P</t>
  </si>
  <si>
    <t>Fremont Block 40</t>
  </si>
  <si>
    <t>RAFN</t>
  </si>
  <si>
    <t>2-R</t>
  </si>
  <si>
    <t>Blakely Village</t>
  </si>
  <si>
    <t>2-S (interiors by hand)</t>
  </si>
  <si>
    <t>Avellino</t>
  </si>
  <si>
    <t>2-T (metal stud)</t>
  </si>
  <si>
    <t>2-X</t>
  </si>
  <si>
    <t>Broadway</t>
  </si>
  <si>
    <t>2-Y</t>
  </si>
  <si>
    <t xml:space="preserve">Friedman Development </t>
  </si>
  <si>
    <t>Charter Construction</t>
  </si>
  <si>
    <t>2-Z</t>
  </si>
  <si>
    <t>New Castle</t>
  </si>
  <si>
    <t>Jim Schmidth</t>
  </si>
  <si>
    <t>2002 YEARLY TOTAL SQUARE FOOTAGE</t>
  </si>
  <si>
    <t>Blakely Commons (WEST)</t>
  </si>
  <si>
    <t>3-A</t>
  </si>
  <si>
    <t>Scott Dagart</t>
  </si>
  <si>
    <t>Blakely Commons (EAST)</t>
  </si>
  <si>
    <t>3-B</t>
  </si>
  <si>
    <t>Kaplan Tashiro</t>
  </si>
  <si>
    <t xml:space="preserve">3-C </t>
  </si>
  <si>
    <t>Bellevue &amp; Denny Apts.</t>
  </si>
  <si>
    <t>Norcon</t>
  </si>
  <si>
    <t>3-D</t>
  </si>
  <si>
    <t>Village SQ 2</t>
  </si>
  <si>
    <t xml:space="preserve">3110 N.E. 123rd st. Seattle WA  </t>
  </si>
  <si>
    <t>Villa Appia (lake city)</t>
  </si>
  <si>
    <t>700 Broadway ave east Seattle WA 98102</t>
  </si>
  <si>
    <t>140th Woodinville Snohomish road Woodinville Wa</t>
  </si>
  <si>
    <t>2836 78th AVE S.E. Mercer Island 98040</t>
  </si>
  <si>
    <t>300 South Washington St. Seattle WA</t>
  </si>
  <si>
    <t>701 8th AVE S. Seattle, WA 98104</t>
  </si>
  <si>
    <t>2201 South Jackson Street Seattle WA 98144</t>
  </si>
  <si>
    <t>103 Bellevue Avenue E. Seattle WA 98102</t>
  </si>
  <si>
    <t>3-E</t>
  </si>
  <si>
    <t>Bridgewater / Ballard Condo</t>
  </si>
  <si>
    <t>5614 17th Ave. NW. Seattle WA</t>
  </si>
  <si>
    <t xml:space="preserve">3-F </t>
  </si>
  <si>
    <t>23rd &amp; Madison</t>
  </si>
  <si>
    <t>1706 22nd Avenue Seattle WA 98122</t>
  </si>
  <si>
    <t xml:space="preserve">3-G </t>
  </si>
  <si>
    <t>Collegian Court</t>
  </si>
  <si>
    <t>4707 12th Avenue NE. Seattle Way</t>
  </si>
  <si>
    <t>3-H</t>
  </si>
  <si>
    <t>7212 265th St. NW Stanwood WA 98292</t>
  </si>
  <si>
    <t>3-I</t>
  </si>
  <si>
    <t>Redmond 44</t>
  </si>
  <si>
    <t>7875 170th place NE. Redmond WA 98502</t>
  </si>
  <si>
    <t>3-J</t>
  </si>
  <si>
    <t>Sunrise</t>
  </si>
  <si>
    <t>14040 NE 181st street. Woodinville WA 98072</t>
  </si>
  <si>
    <t>Synergy</t>
  </si>
  <si>
    <t>2003 YEARLY TOTAL SQUARE FOOTAGE</t>
  </si>
  <si>
    <t>4-K</t>
  </si>
  <si>
    <t>Vantage Point</t>
  </si>
  <si>
    <t xml:space="preserve">905 NE 45th Street 19th ave E Seattle WA </t>
  </si>
  <si>
    <t>Windsor Construction Group</t>
  </si>
  <si>
    <t>4-L</t>
  </si>
  <si>
    <t>Rainier Vista Blk. 26</t>
  </si>
  <si>
    <t>4500 Martin Luther King Jr way seattle wa 98108</t>
  </si>
  <si>
    <t xml:space="preserve">premier </t>
  </si>
  <si>
    <t>4-M</t>
  </si>
  <si>
    <t>Juanita Village</t>
  </si>
  <si>
    <t>Juanita Drive And 98th Avenue NE Kirkland Wa</t>
  </si>
  <si>
    <t xml:space="preserve">4-N </t>
  </si>
  <si>
    <t>Newell Courty</t>
  </si>
  <si>
    <t>3011 78th AVE SE Merecer Island WA 98040-2822</t>
  </si>
  <si>
    <t>4-O</t>
  </si>
  <si>
    <t>Braeburn</t>
  </si>
  <si>
    <t>1400 E Pine, Seattle WA 98122</t>
  </si>
  <si>
    <t>4-P</t>
  </si>
  <si>
    <t>Creekside Phase 2</t>
  </si>
  <si>
    <t>Creekside Gardens</t>
  </si>
  <si>
    <t xml:space="preserve">140th &amp; woodinville snohomish road woodinville Wa </t>
  </si>
  <si>
    <t>Friedman Development</t>
  </si>
  <si>
    <t>4-R</t>
  </si>
  <si>
    <t>Overlook</t>
  </si>
  <si>
    <t>Overlook on Broad way II Tacoma WA</t>
  </si>
  <si>
    <t>4-S</t>
  </si>
  <si>
    <t>3333 Wallingford</t>
  </si>
  <si>
    <t>3333 Wallingford AVE North Seatlle Washington 98103</t>
  </si>
  <si>
    <t>4747 30th Ave. NE</t>
  </si>
  <si>
    <t>Welsh Plaza</t>
  </si>
  <si>
    <t>4-T</t>
  </si>
  <si>
    <t>420 Yale</t>
  </si>
  <si>
    <t>420 Yale Avenue Seattle Washington</t>
  </si>
  <si>
    <t>Exxel Pacific</t>
  </si>
  <si>
    <t>4-V</t>
  </si>
  <si>
    <t>Island Market Sqaure</t>
  </si>
  <si>
    <t>7705 Susnset Hwy Mercer Island WA 98040</t>
  </si>
  <si>
    <t>Swinerton Builders NW</t>
  </si>
  <si>
    <t>2004 YEARLY TOTAL SQUARE FOOTAGE</t>
  </si>
  <si>
    <t xml:space="preserve">5-V </t>
  </si>
  <si>
    <t>Monohon Sammamish view Lodge</t>
  </si>
  <si>
    <t>18707 SW Newport WA Issaquah Washington</t>
  </si>
  <si>
    <t>5-W</t>
  </si>
  <si>
    <t>BainBridge (Island Commons)</t>
  </si>
  <si>
    <t>5-X</t>
  </si>
  <si>
    <t xml:space="preserve">Maple Leafe </t>
  </si>
  <si>
    <t>9001 Lake city wa NE Seattle WA 98115</t>
  </si>
  <si>
    <t xml:space="preserve">5-Y </t>
  </si>
  <si>
    <t>Mainstreet</t>
  </si>
  <si>
    <t>651 S Mainstreet Seattle WA 98104</t>
  </si>
  <si>
    <t xml:space="preserve">5-Z </t>
  </si>
  <si>
    <t>Denny Park</t>
  </si>
  <si>
    <t>230 Eight Ave N. Seattle WA</t>
  </si>
  <si>
    <t>5-A</t>
  </si>
  <si>
    <t>Ovation</t>
  </si>
  <si>
    <t>159 Denny Ave Seattle WA</t>
  </si>
  <si>
    <t>5-B</t>
  </si>
  <si>
    <t>Kirkland Central</t>
  </si>
  <si>
    <t>211 Kirkland Avenue, Kirkland WA</t>
  </si>
  <si>
    <t>2005 YEARLY TOTAL SQUARE FOOTAGE</t>
  </si>
  <si>
    <t>The Pearl</t>
  </si>
  <si>
    <t>7-E</t>
  </si>
  <si>
    <t xml:space="preserve">Beamont </t>
  </si>
  <si>
    <t>FairField</t>
  </si>
  <si>
    <t>Chatea Woods</t>
  </si>
  <si>
    <t>Factoria Madison At Factoria</t>
  </si>
  <si>
    <t>4126 124th AVE SW bEllevue WA 98006</t>
  </si>
  <si>
    <t>8-E</t>
  </si>
  <si>
    <t>Landings Reserve</t>
  </si>
  <si>
    <t>Ballard Condos</t>
  </si>
  <si>
    <t>7700 Central</t>
  </si>
  <si>
    <t>Avalon Meydenbauer</t>
  </si>
  <si>
    <t>Jackson Apartments</t>
  </si>
  <si>
    <t>Exxel or Chinn</t>
  </si>
  <si>
    <t>Othello</t>
  </si>
  <si>
    <t>Exxel</t>
  </si>
  <si>
    <t>Ellispe</t>
  </si>
  <si>
    <t>Mural 2</t>
  </si>
  <si>
    <t>8-C</t>
  </si>
  <si>
    <t>12-L</t>
  </si>
  <si>
    <t>Leilani</t>
  </si>
  <si>
    <t>10215 GreenWood AVE N. Seattle, WA</t>
  </si>
  <si>
    <t>11-I</t>
  </si>
  <si>
    <t>100 Republican</t>
  </si>
  <si>
    <t>100 Republican ST Seattle, WA 98109</t>
  </si>
  <si>
    <t>12-D</t>
  </si>
  <si>
    <t>717 Dexter</t>
  </si>
  <si>
    <t>717 Dester AVE Seattle WA 98109</t>
  </si>
  <si>
    <t>11-K</t>
  </si>
  <si>
    <t>901 Dexter Ave. N Seattle WA 98109</t>
  </si>
  <si>
    <t>901 Dexter</t>
  </si>
  <si>
    <t>1201 Mercer</t>
  </si>
  <si>
    <t>1201 Mercer St Seattle WA</t>
  </si>
  <si>
    <t>11-D</t>
  </si>
  <si>
    <t>Admiral Apt</t>
  </si>
  <si>
    <t>12-A</t>
  </si>
  <si>
    <t>Cooper @ Youngstown</t>
  </si>
  <si>
    <t>4040 26th AVE SW Seattle WA 98106</t>
  </si>
  <si>
    <t>11-E</t>
  </si>
  <si>
    <t>CWU</t>
  </si>
  <si>
    <t>Ellensburg WA</t>
  </si>
  <si>
    <t>Killian Construction</t>
  </si>
  <si>
    <t>11-G</t>
  </si>
  <si>
    <t>Dupont Station</t>
  </si>
  <si>
    <t>Paul Franks Architecture</t>
  </si>
  <si>
    <t>Garco Construction</t>
  </si>
  <si>
    <t>Homewood Suites</t>
  </si>
  <si>
    <t>18123 Alderwood mall Parkway Lynnwood, WA 98037</t>
  </si>
  <si>
    <t>provided shop drawings for hallmark.</t>
  </si>
  <si>
    <t>10-A</t>
  </si>
  <si>
    <t>4219 South Othello Street Seattle, WA 98118</t>
  </si>
  <si>
    <t>488 Rainier Vista</t>
  </si>
  <si>
    <t>Hampton Inn and Suites SEATAC</t>
  </si>
  <si>
    <t>18850 28th AVE S SeaTAC WA 98188</t>
  </si>
  <si>
    <t>11-B</t>
  </si>
  <si>
    <t>10-E</t>
  </si>
  <si>
    <t>Tacoma Senior Housing</t>
  </si>
  <si>
    <t>The link 38th and Alaska</t>
  </si>
  <si>
    <t xml:space="preserve">4550 38th AVE. SW Seattle, WA </t>
  </si>
  <si>
    <t>Mural A,B,C</t>
  </si>
  <si>
    <t>Designed and never built.</t>
  </si>
  <si>
    <t>AMLI South Lake Uniton</t>
  </si>
  <si>
    <t>7720 SW 26th ST mercer Island WA</t>
  </si>
  <si>
    <t>1083 LK Washington Blvd. N. Renton WA</t>
  </si>
  <si>
    <t>seco</t>
  </si>
  <si>
    <t>4th and Blanchard (shelby)</t>
  </si>
  <si>
    <t xml:space="preserve">2201 4th avenue Seattle WA. </t>
  </si>
  <si>
    <t>mego</t>
  </si>
  <si>
    <t>7th and Lane (The mosaic)</t>
  </si>
  <si>
    <t>7th AVE. S and S. Lane Seattle WA</t>
  </si>
  <si>
    <t>12th and Olive (the oliver)</t>
  </si>
  <si>
    <t>12th AVE and E. Olive Seattle Wa</t>
  </si>
  <si>
    <t>11th and Jefferson (the Jeffrey)</t>
  </si>
  <si>
    <t>11th Ave. And E. Jefferson Seattle WA.</t>
  </si>
  <si>
    <t>521 S. Weller Seattle WA 98104</t>
  </si>
  <si>
    <t>Redmond Ridge The lodge</t>
  </si>
  <si>
    <t>22433 NE Marketplace DR REDmond WA 98053</t>
  </si>
  <si>
    <t>23-A</t>
  </si>
  <si>
    <t>23-B</t>
  </si>
  <si>
    <t>Derby</t>
  </si>
  <si>
    <t>23-C</t>
  </si>
  <si>
    <t>Amelia</t>
  </si>
  <si>
    <t>2920 S 200th st, SeaTac Wa 98198</t>
  </si>
  <si>
    <t>Braseth</t>
  </si>
  <si>
    <t xml:space="preserve">23-D </t>
  </si>
  <si>
    <t>Hill top south</t>
  </si>
  <si>
    <t>Hill top north</t>
  </si>
  <si>
    <t>1700 Braseth</t>
  </si>
  <si>
    <t>1700 &amp; 1716 21st ave south seattle</t>
  </si>
  <si>
    <t>premier</t>
  </si>
  <si>
    <t>1011 South L ST, Tacoma WA 98405</t>
  </si>
  <si>
    <t xml:space="preserve">23-E </t>
  </si>
  <si>
    <t>Stevie</t>
  </si>
  <si>
    <t>24th and Market</t>
  </si>
  <si>
    <t>2318 NW Market Street Seattle Wa</t>
  </si>
  <si>
    <t>23-F</t>
  </si>
  <si>
    <t xml:space="preserve">Samma Apartments </t>
  </si>
  <si>
    <t>17816 Bothell Way NE Bothell WA 98011</t>
  </si>
  <si>
    <t xml:space="preserve">23-G </t>
  </si>
  <si>
    <t>DESC Burien</t>
  </si>
  <si>
    <t>801 SW 150th St. Burien WA 98166</t>
  </si>
  <si>
    <t xml:space="preserve">23-H </t>
  </si>
  <si>
    <t>900 Rainier</t>
  </si>
  <si>
    <t>900 Rainier Ave S  Seattle WA 98114</t>
  </si>
  <si>
    <t xml:space="preserve">23-J </t>
  </si>
  <si>
    <t>Trail Road</t>
  </si>
  <si>
    <t xml:space="preserve">BYK </t>
  </si>
  <si>
    <t>820 Trail Road Sedro Woolley WA 98284</t>
  </si>
  <si>
    <t>Steve</t>
  </si>
  <si>
    <t xml:space="preserve">23-K </t>
  </si>
  <si>
    <t>UW Bothell Building B</t>
  </si>
  <si>
    <t>UW Bothell Building C</t>
  </si>
  <si>
    <t>James / Stevie /Colton /Steve /Mike</t>
  </si>
  <si>
    <t>18612 Beardslee Blvd Bothell WA</t>
  </si>
  <si>
    <t xml:space="preserve">23-L </t>
  </si>
  <si>
    <t>23-M</t>
  </si>
  <si>
    <t>Trail Side II</t>
  </si>
  <si>
    <t>4907 25th AVE NE Seattle wA</t>
  </si>
  <si>
    <t>Hope Housing BLDG A &amp; C</t>
  </si>
  <si>
    <t>Hope Housing BLDG B &amp; D</t>
  </si>
  <si>
    <t>17300 135th Ave NE, Woodinville Wa 98072</t>
  </si>
  <si>
    <t>lockett</t>
  </si>
  <si>
    <t>PacRim / Lockett</t>
  </si>
  <si>
    <t>Lockett</t>
  </si>
  <si>
    <t>8215 236th Street SW Edmonds WA 98026</t>
  </si>
  <si>
    <t>24-A</t>
  </si>
  <si>
    <t xml:space="preserve">LIHI MLK </t>
  </si>
  <si>
    <t>7544 MLK JR way s &amp; 7529 Renton Ave S, Seattle WA 98118</t>
  </si>
  <si>
    <t>24-B</t>
  </si>
  <si>
    <t>7324 OZN Othello</t>
  </si>
  <si>
    <t>7324 M L King Jr Way st seattle wa 98118</t>
  </si>
  <si>
    <t>STS</t>
  </si>
  <si>
    <t xml:space="preserve">Warrior Ridge </t>
  </si>
  <si>
    <t>24-C</t>
  </si>
  <si>
    <t>32014 Little Boston RD NE  Kingston, WA 98346</t>
  </si>
  <si>
    <t>Clark</t>
  </si>
  <si>
    <t>24-D</t>
  </si>
  <si>
    <t>SRM Altaire</t>
  </si>
  <si>
    <t>14343 15th AVE NE Seattle WA 98125</t>
  </si>
  <si>
    <t>DESC 15th AVE</t>
  </si>
  <si>
    <t>24-E</t>
  </si>
  <si>
    <t>2626 15th AVE W  Seattle WA 98119</t>
  </si>
  <si>
    <t>24-F</t>
  </si>
  <si>
    <t>Ardea @ Totem lake</t>
  </si>
  <si>
    <t>12700 116th ave ne, Kirkland WA 98034</t>
  </si>
  <si>
    <t>Deacon Construction</t>
  </si>
  <si>
    <t>24-G</t>
  </si>
  <si>
    <t>Pasco Clinic</t>
  </si>
  <si>
    <t xml:space="preserve">Aldrich-Associates </t>
  </si>
  <si>
    <t xml:space="preserve">Steve </t>
  </si>
  <si>
    <t>Corner of road 68 &amp; Three Rivers Drive, Pasco WA 99301</t>
  </si>
  <si>
    <t>Compass Construction</t>
  </si>
  <si>
    <t>109 S Division St Auburn, WA 98011</t>
  </si>
  <si>
    <t>Dan Parcher</t>
  </si>
  <si>
    <t>1942 Fawcett Tacoma WA</t>
  </si>
  <si>
    <t xml:space="preserve">Compass </t>
  </si>
  <si>
    <t>123-127 Belleveu Avenue East Seattle, WA 98102</t>
  </si>
  <si>
    <t>1728 Summit AVE, Seattle, WA 98122</t>
  </si>
  <si>
    <t>11430 38th Dr NE. Marysville WA 98271</t>
  </si>
  <si>
    <t>Total Square Footage</t>
  </si>
  <si>
    <t xml:space="preserve"> </t>
  </si>
  <si>
    <t>Total Exterior Linear Feet</t>
  </si>
  <si>
    <t xml:space="preserve">Total Interial Linear Feet </t>
  </si>
  <si>
    <t>Total Miles Built</t>
  </si>
  <si>
    <t>Total Linear Feet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</si>
</sst>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rgb="FF000000"/>
      <name val="Century Gothic"/>
      <family val="2"/>
      <scheme val="minor"/>
    </font>
    <font>
      <sz val="11"/>
      <name val="Century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wrapText="1"/>
    </xf>
    <xf numFmtId="0" fontId="0" fillId="2" borderId="1" xfId="0" applyFill="1" applyBorder="1" applyAlignment="1">
      <alignment horizontal="left" wrapText="1"/>
    </xf>
    <xf numFmtId="0" fontId="0" fillId="2" borderId="1" xfId="0" applyFill="1" applyBorder="1" applyAlignment="1">
      <alignment horizontal="left" wrapText="1" indent="1"/>
    </xf>
    <xf numFmtId="0" fontId="0" fillId="2" borderId="2" xfId="0" applyFill="1" applyBorder="1"/>
    <xf numFmtId="0" fontId="1" fillId="0" borderId="1" xfId="0" applyFont="1" applyBorder="1"/>
    <xf numFmtId="3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1" xfId="0" applyBorder="1"/>
    <xf numFmtId="0" fontId="0" fillId="3" borderId="5" xfId="0" applyFill="1" applyBorder="1"/>
    <xf numFmtId="0" fontId="1" fillId="0" borderId="3" xfId="0" applyFont="1" applyBorder="1"/>
    <xf numFmtId="0" fontId="1" fillId="0" borderId="4" xfId="0" applyFont="1" applyBorder="1"/>
    <xf numFmtId="3" fontId="1" fillId="0" borderId="4" xfId="0" applyNumberFormat="1" applyFont="1" applyBorder="1" applyAlignment="1">
      <alignment horizontal="center"/>
    </xf>
    <xf numFmtId="3" fontId="0" fillId="0" borderId="1" xfId="0" applyNumberFormat="1" applyBorder="1"/>
    <xf numFmtId="3" fontId="0" fillId="0" borderId="1" xfId="0" applyNumberFormat="1" applyBorder="1" applyAlignment="1">
      <alignment horizont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left" wrapText="1" indent="1"/>
    </xf>
    <xf numFmtId="0" fontId="0" fillId="0" borderId="2" xfId="0" applyBorder="1"/>
    <xf numFmtId="0" fontId="0" fillId="0" borderId="1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left" wrapText="1"/>
    </xf>
    <xf numFmtId="0" fontId="1" fillId="0" borderId="6" xfId="0" applyFont="1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3" xfId="0" applyBorder="1" applyAlignment="1">
      <alignment horizontal="left" wrapText="1" indent="1"/>
    </xf>
    <xf numFmtId="0" fontId="0" fillId="0" borderId="6" xfId="0" applyBorder="1"/>
    <xf numFmtId="0" fontId="1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 wrapText="1"/>
    </xf>
    <xf numFmtId="0" fontId="1" fillId="0" borderId="4" xfId="0" applyFont="1" applyBorder="1" applyAlignment="1">
      <alignment horizontal="left" wrapText="1"/>
    </xf>
    <xf numFmtId="0" fontId="1" fillId="0" borderId="7" xfId="0" applyFont="1" applyBorder="1" applyAlignment="1">
      <alignment wrapText="1"/>
    </xf>
    <xf numFmtId="0" fontId="0" fillId="0" borderId="4" xfId="0" applyBorder="1" applyAlignment="1">
      <alignment horizontal="left" wrapText="1"/>
    </xf>
    <xf numFmtId="0" fontId="0" fillId="0" borderId="4" xfId="0" applyBorder="1" applyAlignment="1">
      <alignment horizontal="left" wrapText="1" indent="1"/>
    </xf>
    <xf numFmtId="0" fontId="0" fillId="0" borderId="7" xfId="0" applyBorder="1"/>
    <xf numFmtId="0" fontId="1" fillId="3" borderId="5" xfId="0" applyFont="1" applyFill="1" applyBorder="1"/>
    <xf numFmtId="0" fontId="1" fillId="3" borderId="5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left" wrapText="1"/>
    </xf>
    <xf numFmtId="0" fontId="1" fillId="3" borderId="5" xfId="0" applyFont="1" applyFill="1" applyBorder="1" applyAlignment="1">
      <alignment wrapText="1"/>
    </xf>
    <xf numFmtId="0" fontId="0" fillId="3" borderId="5" xfId="0" applyFill="1" applyBorder="1" applyAlignment="1">
      <alignment horizontal="left" wrapText="1"/>
    </xf>
    <xf numFmtId="0" fontId="0" fillId="3" borderId="5" xfId="0" applyFill="1" applyBorder="1" applyAlignment="1">
      <alignment horizontal="left" wrapText="1" indent="1"/>
    </xf>
    <xf numFmtId="0" fontId="2" fillId="0" borderId="1" xfId="0" applyFont="1" applyBorder="1"/>
    <xf numFmtId="3" fontId="1" fillId="3" borderId="5" xfId="0" applyNumberFormat="1" applyFont="1" applyFill="1" applyBorder="1" applyAlignment="1">
      <alignment horizontal="center"/>
    </xf>
    <xf numFmtId="0" fontId="3" fillId="0" borderId="1" xfId="0" applyFont="1" applyBorder="1"/>
    <xf numFmtId="3" fontId="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left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0" fillId="3" borderId="9" xfId="0" applyFill="1" applyBorder="1"/>
    <xf numFmtId="3" fontId="0" fillId="0" borderId="1" xfId="0" applyNumberFormat="1" applyBorder="1" applyAlignment="1">
      <alignment horizontal="left"/>
    </xf>
    <xf numFmtId="0" fontId="0" fillId="0" borderId="1" xfId="0" applyBorder="1" applyProtection="1">
      <protection locked="0" hidden="1"/>
    </xf>
    <xf numFmtId="0" fontId="1" fillId="0" borderId="1" xfId="0" applyFont="1" applyBorder="1" applyAlignment="1">
      <alignment wrapText="1"/>
    </xf>
    <xf numFmtId="17" fontId="1" fillId="0" borderId="1" xfId="0" applyNumberFormat="1" applyFont="1" applyBorder="1"/>
    <xf numFmtId="0" fontId="1" fillId="3" borderId="9" xfId="0" applyFont="1" applyFill="1" applyBorder="1"/>
    <xf numFmtId="0" fontId="1" fillId="3" borderId="9" xfId="0" applyFont="1" applyFill="1" applyBorder="1" applyAlignment="1">
      <alignment horizontal="center"/>
    </xf>
    <xf numFmtId="3" fontId="1" fillId="3" borderId="9" xfId="0" applyNumberFormat="1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wrapText="1"/>
    </xf>
    <xf numFmtId="0" fontId="0" fillId="3" borderId="9" xfId="0" applyFill="1" applyBorder="1" applyAlignment="1">
      <alignment horizontal="left" wrapText="1"/>
    </xf>
    <xf numFmtId="0" fontId="0" fillId="3" borderId="9" xfId="0" applyFill="1" applyBorder="1" applyAlignment="1">
      <alignment horizontal="left" wrapText="1" indent="1"/>
    </xf>
    <xf numFmtId="3" fontId="0" fillId="0" borderId="0" xfId="0" applyNumberFormat="1"/>
    <xf numFmtId="1" fontId="3" fillId="0" borderId="1" xfId="0" applyNumberFormat="1" applyFont="1" applyBorder="1" applyAlignment="1">
      <alignment horizontal="center"/>
    </xf>
    <xf numFmtId="0" fontId="1" fillId="0" borderId="1" xfId="0" applyFont="1" applyBorder="1" applyProtection="1">
      <protection locked="0" hidden="1"/>
    </xf>
    <xf numFmtId="0" fontId="0" fillId="4" borderId="0" xfId="0" applyFill="1"/>
    <xf numFmtId="0" fontId="3" fillId="0" borderId="0" xfId="0" applyFont="1"/>
    <xf numFmtId="3" fontId="1" fillId="0" borderId="1" xfId="0" applyNumberFormat="1" applyFont="1" applyBorder="1" applyAlignment="1" applyProtection="1">
      <alignment horizontal="center" vertical="center"/>
      <protection locked="0" hidden="1"/>
    </xf>
    <xf numFmtId="3" fontId="1" fillId="0" borderId="1" xfId="0" applyNumberFormat="1" applyFont="1" applyBorder="1" applyAlignment="1" applyProtection="1">
      <alignment horizontal="center"/>
      <protection locked="0" hidden="1"/>
    </xf>
    <xf numFmtId="3" fontId="3" fillId="0" borderId="1" xfId="0" applyNumberFormat="1" applyFont="1" applyBorder="1"/>
    <xf numFmtId="3" fontId="1" fillId="0" borderId="1" xfId="0" applyNumberFormat="1" applyFont="1" applyBorder="1"/>
    <xf numFmtId="0" fontId="0" fillId="2" borderId="1" xfId="0" applyFill="1" applyBorder="1"/>
    <xf numFmtId="0" fontId="1" fillId="2" borderId="1" xfId="0" applyFont="1" applyFill="1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3" fontId="1" fillId="0" borderId="2" xfId="0" applyNumberFormat="1" applyFont="1" applyBorder="1" applyAlignment="1">
      <alignment horizontal="center"/>
    </xf>
    <xf numFmtId="3" fontId="1" fillId="0" borderId="5" xfId="0" applyNumberFormat="1" applyFont="1" applyBorder="1" applyAlignment="1">
      <alignment horizontal="center"/>
    </xf>
    <xf numFmtId="3" fontId="1" fillId="0" borderId="8" xfId="0" applyNumberFormat="1" applyFont="1" applyBorder="1" applyAlignment="1">
      <alignment horizontal="center"/>
    </xf>
    <xf numFmtId="0" fontId="1" fillId="3" borderId="5" xfId="0" applyFont="1" applyFill="1" applyBorder="1" applyAlignment="1">
      <alignment horizontal="center"/>
    </xf>
  </cellXfs>
  <cellStyles count="1">
    <cellStyle name="Normal" xfId="0" builtinId="0"/>
  </cellStyles>
  <dxfs count="36"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" formatCode="#,##0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" formatCode="#,##0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E32E0F-3156-45F3-B9BF-84E9F9FF4738}" name="Table35" displayName="Table35" ref="A1:N251" totalsRowShown="0" headerRowDxfId="35" headerRowBorderDxfId="34" tableBorderDxfId="33" totalsRowBorderDxfId="32">
  <autoFilter ref="A1:N251" xr:uid="{B8B0F4D7-4709-4D77-9197-E19F38B9B64E}"/>
  <sortState xmlns:xlrd2="http://schemas.microsoft.com/office/spreadsheetml/2017/richdata2" ref="A2:N251">
    <sortCondition ref="N1:N251"/>
  </sortState>
  <tableColumns count="14">
    <tableColumn id="1" xr3:uid="{3D016FB5-CBC9-46A6-A37A-37C11FA688B7}" name="Job Code" dataDxfId="31"/>
    <tableColumn id="2" xr3:uid="{342CA34B-003D-4317-A839-6399E9CF1683}" name="Job Name" dataDxfId="30"/>
    <tableColumn id="3" xr3:uid="{E8457ECB-CE59-49B9-BA87-C8BF79C71DF4}" name="Address" dataDxfId="29"/>
    <tableColumn id="4" xr3:uid="{6D88E573-7B89-4417-A766-14E81AD4694A}" name="Framer" dataDxfId="28"/>
    <tableColumn id="5" xr3:uid="{8F51194F-D77B-4644-A4D5-D3D2896D13CC}" name="GC" dataDxfId="27"/>
    <tableColumn id="6" xr3:uid="{3D78ABFF-F162-4A56-A9E5-671DD3878596}" name="sq/ft" dataDxfId="26"/>
    <tableColumn id="7" xr3:uid="{9E07130E-F6BE-4EB3-AB37-3DD09C6528EF}" name="Interior LF" dataDxfId="25"/>
    <tableColumn id="8" xr3:uid="{DA847C28-60A9-4B24-8C19-E6D06FB08EB4}" name="Exterior LF" dataDxfId="24"/>
    <tableColumn id="9" xr3:uid="{1DE10920-72DE-4F17-9980-20B02659C94A}" name="Pre-Snap date" dataDxfId="23"/>
    <tableColumn id="10" xr3:uid="{712C84D9-FD35-43F9-815A-410C10AF3179}" name="Pour date" dataDxfId="22"/>
    <tableColumn id="11" xr3:uid="{44F1AC3E-CB26-4AB7-BCE1-62E2F38D1031}" name="production days" dataDxfId="21"/>
    <tableColumn id="12" xr3:uid="{3BBCD2B7-9859-4766-806C-260ED800EE66}" name="Int / Table" dataDxfId="20"/>
    <tableColumn id="13" xr3:uid="{9FD0DE9D-D0C6-4FEB-8F8B-ABB09BE26536}" name="Ext / Table" dataDxfId="19"/>
    <tableColumn id="14" xr3:uid="{E611D4C1-5350-4845-A64D-0627E86BE497}" name="Designer" dataDxfId="1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B0F4D7-4709-4D77-9197-E19F38B9B64E}" name="Table3" displayName="Table3" ref="A1:N12501" totalsRowShown="0" headerRowDxfId="17" headerRowBorderDxfId="16" tableBorderDxfId="15" totalsRowBorderDxfId="14">
  <autoFilter ref="A1:N12501" xr:uid="{B8B0F4D7-4709-4D77-9197-E19F38B9B64E}"/>
  <tableColumns count="14">
    <tableColumn id="1" xr3:uid="{55306C79-787A-49F7-99BA-FEA4C2DB7321}" name="Job Code" dataDxfId="13"/>
    <tableColumn id="2" xr3:uid="{07E3711F-F37C-41D4-9350-13A83BB6A2FF}" name="Job Name" dataDxfId="12"/>
    <tableColumn id="3" xr3:uid="{E0BAA0C7-B49B-4D54-A1C1-92DE93BA5D98}" name="Address" dataDxfId="11"/>
    <tableColumn id="4" xr3:uid="{AC7DBE3F-1946-4122-AE9A-3616C4267A06}" name="Framer" dataDxfId="10"/>
    <tableColumn id="5" xr3:uid="{56B055AB-AE26-41B7-8A87-071772CFEE24}" name="GC" dataDxfId="9"/>
    <tableColumn id="6" xr3:uid="{4B3450F8-64DF-4D5E-86F6-9C3613A17FC1}" name="sq/ft" dataDxfId="8"/>
    <tableColumn id="7" xr3:uid="{1ED520EE-6D7F-4691-BC2B-8D0FBBBCE3AA}" name="Interior LF" dataDxfId="7"/>
    <tableColumn id="8" xr3:uid="{49B19E37-CC04-497B-AD94-C0898A33396C}" name="Exterior LF" dataDxfId="6"/>
    <tableColumn id="9" xr3:uid="{ED4D1DAD-9908-4ED3-AACB-8E3D4784861C}" name="Pre-Snap date" dataDxfId="5"/>
    <tableColumn id="10" xr3:uid="{641D06DD-5439-44E2-B33E-B98AC34C7621}" name="Pour date" dataDxfId="4"/>
    <tableColumn id="11" xr3:uid="{91013F92-900C-499E-89D4-6183788F527A}" name="production days" dataDxfId="3"/>
    <tableColumn id="12" xr3:uid="{2ED5B001-C13B-4117-95A7-E7376D45ADE2}" name="Int / Table" dataDxfId="2"/>
    <tableColumn id="13" xr3:uid="{3BC975CE-8C07-4675-8436-B2C673F83AF6}" name="Ext / Table" dataDxfId="1"/>
    <tableColumn id="14" xr3:uid="{65A13408-5B7F-46C2-A0D7-FB674DB39DF3}" name="Designer" dataDxfId="0"/>
  </tableColumns>
  <tableStyleInfo name="TableStyleLight1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 Boardroom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Ion Boardroom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 Boardroom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124000"/>
                <a:satMod val="148000"/>
                <a:lumMod val="124000"/>
              </a:schemeClr>
            </a:gs>
            <a:gs pos="100000">
              <a:schemeClr val="phClr">
                <a:shade val="76000"/>
                <a:hueMod val="89000"/>
                <a:satMod val="164000"/>
                <a:lumMod val="5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91000"/>
                <a:satMod val="164000"/>
                <a:lumMod val="74000"/>
              </a:schemeClr>
              <a:schemeClr val="phClr">
                <a:hueMod val="124000"/>
                <a:satMod val="140000"/>
                <a:lumMod val="14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 Boardroom" id="{FC33163D-4339-46B1-8EED-24C834239D99}" vid="{B8502691-933B-45FE-8764-BA278511EF27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989AB-E362-496A-9886-612DF0C7E6E1}">
  <sheetPr codeName="Sheet14"/>
  <dimension ref="A1:W2"/>
  <sheetViews>
    <sheetView workbookViewId="0">
      <selection activeCell="E12" sqref="E12"/>
    </sheetView>
  </sheetViews>
  <sheetFormatPr defaultRowHeight="16.5" x14ac:dyDescent="0.3"/>
  <sheetData>
    <row r="1" spans="1:23" x14ac:dyDescent="0.3">
      <c r="A1" t="s">
        <v>122</v>
      </c>
      <c r="B1" t="s">
        <v>198</v>
      </c>
      <c r="C1" t="s">
        <v>130</v>
      </c>
      <c r="D1" t="s">
        <v>180</v>
      </c>
      <c r="E1" t="s">
        <v>182</v>
      </c>
      <c r="F1" t="s">
        <v>183</v>
      </c>
      <c r="G1" t="s">
        <v>184</v>
      </c>
      <c r="H1" t="s">
        <v>125</v>
      </c>
      <c r="I1" t="s">
        <v>132</v>
      </c>
      <c r="J1" t="s">
        <v>143</v>
      </c>
      <c r="K1" t="s">
        <v>142</v>
      </c>
      <c r="L1" t="s">
        <v>144</v>
      </c>
      <c r="M1" t="s">
        <v>105</v>
      </c>
      <c r="N1" t="s">
        <v>191</v>
      </c>
      <c r="P1" t="s">
        <v>416</v>
      </c>
      <c r="Q1" t="s">
        <v>423</v>
      </c>
      <c r="R1" t="s">
        <v>510</v>
      </c>
      <c r="S1" t="s">
        <v>541</v>
      </c>
      <c r="T1" t="s">
        <v>536</v>
      </c>
      <c r="U1" t="s">
        <v>806</v>
      </c>
      <c r="V1" t="s">
        <v>826</v>
      </c>
      <c r="W1" t="s">
        <v>863</v>
      </c>
    </row>
    <row r="2" spans="1:23" x14ac:dyDescent="0.3">
      <c r="A2">
        <v>5144084</v>
      </c>
      <c r="B2">
        <v>329000</v>
      </c>
      <c r="C2">
        <v>91030</v>
      </c>
      <c r="D2">
        <v>270472</v>
      </c>
      <c r="E2">
        <v>137624</v>
      </c>
      <c r="F2">
        <v>66072</v>
      </c>
      <c r="G2">
        <v>73883</v>
      </c>
      <c r="H2">
        <v>2876763</v>
      </c>
      <c r="I2">
        <v>63082</v>
      </c>
      <c r="J2">
        <v>305563</v>
      </c>
      <c r="K2">
        <v>370557</v>
      </c>
      <c r="L2">
        <v>94484</v>
      </c>
      <c r="M2">
        <v>2310226</v>
      </c>
      <c r="N2">
        <v>56601</v>
      </c>
      <c r="O2">
        <v>15605234</v>
      </c>
      <c r="P2">
        <v>153676</v>
      </c>
      <c r="Q2">
        <v>320114</v>
      </c>
      <c r="R2">
        <v>68155</v>
      </c>
      <c r="S2">
        <v>246175</v>
      </c>
      <c r="T2">
        <v>336210</v>
      </c>
      <c r="U2">
        <v>756308</v>
      </c>
      <c r="V2">
        <v>155610</v>
      </c>
      <c r="W2">
        <v>155610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0217A-5E36-4BB3-9962-4A6AA299BFF1}">
  <sheetPr codeName="Sheet11"/>
  <dimension ref="A1:E9"/>
  <sheetViews>
    <sheetView workbookViewId="0">
      <selection activeCell="A2" sqref="A2"/>
    </sheetView>
  </sheetViews>
  <sheetFormatPr defaultRowHeight="16.5" x14ac:dyDescent="0.3"/>
  <sheetData>
    <row r="1" spans="1:5" x14ac:dyDescent="0.3">
      <c r="A1" t="s">
        <v>122</v>
      </c>
      <c r="B1" t="s">
        <v>125</v>
      </c>
      <c r="C1" t="s">
        <v>105</v>
      </c>
      <c r="D1" t="s">
        <v>466</v>
      </c>
      <c r="E1" t="s">
        <v>806</v>
      </c>
    </row>
    <row r="2" spans="1:5" x14ac:dyDescent="0.3">
      <c r="C2" s="71"/>
    </row>
    <row r="3" spans="1:5" x14ac:dyDescent="0.3">
      <c r="C3" s="71"/>
    </row>
    <row r="4" spans="1:5" x14ac:dyDescent="0.3">
      <c r="C4" s="71"/>
    </row>
    <row r="5" spans="1:5" x14ac:dyDescent="0.3">
      <c r="C5" s="71"/>
    </row>
    <row r="6" spans="1:5" x14ac:dyDescent="0.3">
      <c r="C6" s="71"/>
    </row>
    <row r="7" spans="1:5" x14ac:dyDescent="0.3">
      <c r="C7" s="71"/>
    </row>
    <row r="9" spans="1:5" x14ac:dyDescent="0.3">
      <c r="C9" s="7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B1280-38B5-4093-BFBB-3E59E6466BA4}">
  <sheetPr codeName="Sheet2"/>
  <dimension ref="A1:Q215"/>
  <sheetViews>
    <sheetView zoomScale="85" zoomScaleNormal="85" workbookViewId="0">
      <pane ySplit="1" topLeftCell="A2" activePane="bottomLeft" state="frozen"/>
      <selection pane="bottomLeft" activeCell="P1" sqref="P1:Q1048576"/>
    </sheetView>
  </sheetViews>
  <sheetFormatPr defaultRowHeight="16.5" x14ac:dyDescent="0.3"/>
  <cols>
    <col min="1" max="1" width="22.5" style="12" customWidth="1"/>
    <col min="2" max="2" width="29.75" style="12" customWidth="1"/>
    <col min="3" max="3" width="56.25" style="12" customWidth="1"/>
    <col min="4" max="4" width="17.375" style="12" customWidth="1"/>
    <col min="5" max="5" width="26.875" style="12" customWidth="1"/>
    <col min="6" max="6" width="13.25" style="12" customWidth="1"/>
    <col min="7" max="7" width="13.5" style="12" customWidth="1"/>
    <col min="8" max="8" width="12.625" style="12" customWidth="1"/>
    <col min="9" max="9" width="11.375" style="12" customWidth="1"/>
    <col min="10" max="10" width="14.625" style="30" customWidth="1"/>
    <col min="11" max="11" width="18.5" style="12" customWidth="1"/>
    <col min="12" max="12" width="11.5" style="12" customWidth="1"/>
    <col min="13" max="13" width="13" style="12" customWidth="1"/>
    <col min="14" max="14" width="35.25" style="12" customWidth="1"/>
    <col min="16" max="16" width="10.5" customWidth="1"/>
    <col min="17" max="17" width="27.75" customWidth="1"/>
  </cols>
  <sheetData>
    <row r="1" spans="1:17" ht="30" x14ac:dyDescent="0.3">
      <c r="A1" s="80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3" t="s">
        <v>9</v>
      </c>
      <c r="K1" s="81" t="s">
        <v>10</v>
      </c>
      <c r="L1" s="6" t="s">
        <v>11</v>
      </c>
      <c r="M1" s="7" t="s">
        <v>12</v>
      </c>
      <c r="N1" s="80" t="s">
        <v>13</v>
      </c>
    </row>
    <row r="2" spans="1:17" x14ac:dyDescent="0.3">
      <c r="A2" s="12" t="s">
        <v>439</v>
      </c>
      <c r="B2" s="12" t="s">
        <v>460</v>
      </c>
      <c r="C2" s="12" t="s">
        <v>459</v>
      </c>
      <c r="D2" s="12" t="s">
        <v>103</v>
      </c>
      <c r="E2" s="12" t="s">
        <v>189</v>
      </c>
      <c r="F2" s="10">
        <v>31547</v>
      </c>
      <c r="G2" s="10">
        <v>5531</v>
      </c>
      <c r="H2" s="10">
        <v>1952</v>
      </c>
      <c r="N2" s="12" t="s">
        <v>328</v>
      </c>
      <c r="P2" t="s">
        <v>122</v>
      </c>
    </row>
    <row r="3" spans="1:17" x14ac:dyDescent="0.3">
      <c r="A3" s="12" t="s">
        <v>353</v>
      </c>
      <c r="B3" s="12" t="s">
        <v>354</v>
      </c>
      <c r="C3" s="12" t="s">
        <v>355</v>
      </c>
      <c r="D3" s="12" t="s">
        <v>356</v>
      </c>
      <c r="E3" s="12" t="s">
        <v>357</v>
      </c>
      <c r="F3" s="10">
        <v>38970</v>
      </c>
      <c r="G3" s="10">
        <v>9759</v>
      </c>
      <c r="N3" s="12" t="s">
        <v>328</v>
      </c>
      <c r="P3" t="s">
        <v>125</v>
      </c>
    </row>
    <row r="4" spans="1:17" x14ac:dyDescent="0.3">
      <c r="A4" s="12" t="s">
        <v>436</v>
      </c>
      <c r="B4" s="12" t="s">
        <v>455</v>
      </c>
      <c r="C4" s="54" t="s">
        <v>368</v>
      </c>
      <c r="D4" s="54" t="s">
        <v>76</v>
      </c>
      <c r="E4" s="54" t="s">
        <v>145</v>
      </c>
      <c r="F4" s="18">
        <v>41880</v>
      </c>
      <c r="G4" s="30">
        <v>8624</v>
      </c>
      <c r="H4" s="30">
        <v>2552</v>
      </c>
      <c r="N4" s="12" t="s">
        <v>328</v>
      </c>
      <c r="P4" t="s">
        <v>130</v>
      </c>
    </row>
    <row r="5" spans="1:17" x14ac:dyDescent="0.3">
      <c r="A5" s="12" t="s">
        <v>366</v>
      </c>
      <c r="B5" s="12" t="s">
        <v>367</v>
      </c>
      <c r="C5" s="54" t="s">
        <v>368</v>
      </c>
      <c r="D5" s="54" t="s">
        <v>76</v>
      </c>
      <c r="E5" s="54" t="s">
        <v>145</v>
      </c>
      <c r="F5" s="55">
        <v>43420</v>
      </c>
      <c r="G5" s="55">
        <v>9258</v>
      </c>
      <c r="H5" s="55">
        <v>2598</v>
      </c>
      <c r="N5" s="12" t="s">
        <v>328</v>
      </c>
    </row>
    <row r="6" spans="1:17" x14ac:dyDescent="0.3">
      <c r="A6" s="12" t="s">
        <v>337</v>
      </c>
      <c r="B6" s="12" t="s">
        <v>338</v>
      </c>
      <c r="C6" s="12" t="s">
        <v>335</v>
      </c>
      <c r="D6" s="12" t="s">
        <v>94</v>
      </c>
      <c r="E6" s="12" t="s">
        <v>336</v>
      </c>
      <c r="F6" s="10">
        <v>46142</v>
      </c>
      <c r="G6" s="10">
        <v>7366</v>
      </c>
      <c r="H6" s="10">
        <v>2009</v>
      </c>
      <c r="N6" s="12" t="s">
        <v>328</v>
      </c>
    </row>
    <row r="7" spans="1:17" x14ac:dyDescent="0.3">
      <c r="A7" s="12" t="s">
        <v>362</v>
      </c>
      <c r="B7" s="12" t="s">
        <v>363</v>
      </c>
      <c r="C7" s="52" t="s">
        <v>365</v>
      </c>
      <c r="D7" s="12" t="s">
        <v>364</v>
      </c>
      <c r="E7" s="12" t="s">
        <v>364</v>
      </c>
      <c r="F7" s="10">
        <v>47337</v>
      </c>
      <c r="G7" s="23">
        <v>8394</v>
      </c>
      <c r="H7" s="23">
        <v>2385</v>
      </c>
      <c r="N7" s="12" t="s">
        <v>328</v>
      </c>
    </row>
    <row r="8" spans="1:17" x14ac:dyDescent="0.3">
      <c r="A8" s="12" t="s">
        <v>282</v>
      </c>
      <c r="B8" s="12" t="s">
        <v>283</v>
      </c>
      <c r="C8" s="12" t="s">
        <v>284</v>
      </c>
      <c r="D8" s="12" t="s">
        <v>110</v>
      </c>
      <c r="E8" s="12" t="s">
        <v>111</v>
      </c>
      <c r="F8" s="10">
        <v>48910</v>
      </c>
      <c r="G8" s="10">
        <v>11389</v>
      </c>
      <c r="H8" s="10">
        <v>1834</v>
      </c>
      <c r="N8" s="12" t="s">
        <v>105</v>
      </c>
      <c r="P8" t="s">
        <v>122</v>
      </c>
      <c r="Q8" s="71">
        <f>F8+F9+F10+F11+F12+F13+F15+F16+F17+F18</f>
        <v>611373</v>
      </c>
    </row>
    <row r="9" spans="1:17" x14ac:dyDescent="0.3">
      <c r="A9" s="12" t="s">
        <v>264</v>
      </c>
      <c r="B9" s="12" t="s">
        <v>265</v>
      </c>
      <c r="C9" s="12" t="s">
        <v>266</v>
      </c>
      <c r="D9" s="12" t="s">
        <v>76</v>
      </c>
      <c r="E9" s="12" t="s">
        <v>79</v>
      </c>
      <c r="F9" s="10">
        <v>52543</v>
      </c>
      <c r="G9" s="10">
        <v>9180</v>
      </c>
      <c r="H9" s="10">
        <v>2402</v>
      </c>
      <c r="N9" s="12" t="s">
        <v>105</v>
      </c>
      <c r="P9" t="s">
        <v>125</v>
      </c>
    </row>
    <row r="10" spans="1:17" x14ac:dyDescent="0.3">
      <c r="A10" s="12" t="s">
        <v>99</v>
      </c>
      <c r="B10" s="12" t="s">
        <v>100</v>
      </c>
      <c r="C10" s="9" t="s">
        <v>102</v>
      </c>
      <c r="D10" s="9" t="s">
        <v>103</v>
      </c>
      <c r="E10" s="9" t="s">
        <v>104</v>
      </c>
      <c r="F10" s="10">
        <v>56494</v>
      </c>
      <c r="G10" s="30"/>
      <c r="H10" s="20"/>
      <c r="N10" s="12" t="s">
        <v>105</v>
      </c>
      <c r="P10" t="s">
        <v>130</v>
      </c>
    </row>
    <row r="11" spans="1:17" x14ac:dyDescent="0.3">
      <c r="A11" s="12" t="s">
        <v>296</v>
      </c>
      <c r="B11" s="12" t="s">
        <v>297</v>
      </c>
      <c r="C11" s="12" t="s">
        <v>834</v>
      </c>
      <c r="D11" s="12" t="s">
        <v>94</v>
      </c>
      <c r="E11" s="12" t="s">
        <v>113</v>
      </c>
      <c r="F11" s="10">
        <v>56680</v>
      </c>
      <c r="G11" s="10">
        <v>11253</v>
      </c>
      <c r="H11" s="10">
        <v>2870</v>
      </c>
      <c r="N11" s="12" t="s">
        <v>105</v>
      </c>
    </row>
    <row r="12" spans="1:17" x14ac:dyDescent="0.3">
      <c r="A12" s="12" t="s">
        <v>369</v>
      </c>
      <c r="B12" s="12" t="s">
        <v>374</v>
      </c>
      <c r="C12" s="12" t="s">
        <v>372</v>
      </c>
      <c r="D12" s="12" t="s">
        <v>94</v>
      </c>
      <c r="E12" s="12" t="s">
        <v>373</v>
      </c>
      <c r="F12" s="10">
        <v>58904</v>
      </c>
      <c r="G12" s="10">
        <v>12945</v>
      </c>
      <c r="H12" s="10">
        <v>2268</v>
      </c>
      <c r="N12" s="12" t="s">
        <v>328</v>
      </c>
    </row>
    <row r="13" spans="1:17" x14ac:dyDescent="0.3">
      <c r="A13" s="12" t="s">
        <v>443</v>
      </c>
      <c r="B13" s="12" t="s">
        <v>472</v>
      </c>
      <c r="C13" s="12" t="s">
        <v>868</v>
      </c>
      <c r="D13" s="12" t="s">
        <v>473</v>
      </c>
      <c r="E13" s="12" t="s">
        <v>859</v>
      </c>
      <c r="F13" s="18">
        <v>59097</v>
      </c>
      <c r="J13" s="18"/>
      <c r="N13" s="12" t="s">
        <v>328</v>
      </c>
    </row>
    <row r="14" spans="1:17" x14ac:dyDescent="0.3">
      <c r="A14" s="12" t="s">
        <v>383</v>
      </c>
      <c r="B14" s="12" t="s">
        <v>405</v>
      </c>
      <c r="C14" s="56" t="s">
        <v>406</v>
      </c>
      <c r="D14" s="12" t="s">
        <v>76</v>
      </c>
      <c r="E14" s="12" t="s">
        <v>407</v>
      </c>
      <c r="F14" s="10">
        <v>59615</v>
      </c>
      <c r="G14" s="10">
        <v>10439</v>
      </c>
      <c r="H14" s="10">
        <v>2645</v>
      </c>
      <c r="N14" s="12" t="s">
        <v>105</v>
      </c>
    </row>
    <row r="15" spans="1:17" x14ac:dyDescent="0.3">
      <c r="A15" s="12" t="s">
        <v>318</v>
      </c>
      <c r="B15" s="12" t="s">
        <v>321</v>
      </c>
      <c r="C15" s="12" t="s">
        <v>326</v>
      </c>
      <c r="D15" s="12" t="s">
        <v>324</v>
      </c>
      <c r="E15" s="12" t="s">
        <v>325</v>
      </c>
      <c r="F15" s="10">
        <v>64090</v>
      </c>
      <c r="G15" s="10">
        <v>11812</v>
      </c>
      <c r="H15" s="10">
        <v>0</v>
      </c>
      <c r="N15" s="12" t="s">
        <v>328</v>
      </c>
    </row>
    <row r="16" spans="1:17" x14ac:dyDescent="0.3">
      <c r="A16" s="12" t="s">
        <v>370</v>
      </c>
      <c r="B16" s="12" t="s">
        <v>375</v>
      </c>
      <c r="C16" s="12" t="s">
        <v>372</v>
      </c>
      <c r="D16" s="12" t="s">
        <v>94</v>
      </c>
      <c r="E16" s="12" t="s">
        <v>373</v>
      </c>
      <c r="F16" s="10">
        <v>69702</v>
      </c>
      <c r="G16" s="10">
        <v>15510</v>
      </c>
      <c r="H16" s="10">
        <v>3102</v>
      </c>
      <c r="N16" s="12" t="s">
        <v>328</v>
      </c>
    </row>
    <row r="17" spans="1:17" x14ac:dyDescent="0.3">
      <c r="A17" s="12" t="s">
        <v>319</v>
      </c>
      <c r="B17" s="12" t="s">
        <v>322</v>
      </c>
      <c r="C17" s="12" t="s">
        <v>327</v>
      </c>
      <c r="D17" s="12" t="s">
        <v>324</v>
      </c>
      <c r="E17" s="12" t="s">
        <v>325</v>
      </c>
      <c r="F17" s="10">
        <v>70617</v>
      </c>
      <c r="G17" s="10">
        <v>12577</v>
      </c>
      <c r="H17" s="10">
        <v>2241</v>
      </c>
      <c r="N17" s="12" t="s">
        <v>328</v>
      </c>
    </row>
    <row r="18" spans="1:17" x14ac:dyDescent="0.3">
      <c r="A18" s="12" t="s">
        <v>292</v>
      </c>
      <c r="B18" s="12" t="s">
        <v>293</v>
      </c>
      <c r="C18" s="12" t="s">
        <v>294</v>
      </c>
      <c r="D18" s="12" t="s">
        <v>76</v>
      </c>
      <c r="E18" s="12" t="s">
        <v>295</v>
      </c>
      <c r="F18" s="10">
        <v>74336</v>
      </c>
      <c r="G18" s="10">
        <v>18138</v>
      </c>
      <c r="H18" s="10">
        <v>4101</v>
      </c>
      <c r="N18" s="12" t="s">
        <v>105</v>
      </c>
    </row>
    <row r="19" spans="1:17" x14ac:dyDescent="0.3">
      <c r="A19" s="12" t="s">
        <v>391</v>
      </c>
      <c r="B19" s="12" t="s">
        <v>429</v>
      </c>
      <c r="C19" s="57" t="s">
        <v>430</v>
      </c>
      <c r="D19" s="12" t="s">
        <v>103</v>
      </c>
      <c r="E19" s="12" t="s">
        <v>79</v>
      </c>
      <c r="F19" s="18">
        <v>79101</v>
      </c>
      <c r="J19" s="18"/>
      <c r="N19" s="12" t="s">
        <v>328</v>
      </c>
    </row>
    <row r="20" spans="1:17" x14ac:dyDescent="0.3">
      <c r="A20" s="12" t="s">
        <v>842</v>
      </c>
      <c r="B20" s="12" t="s">
        <v>843</v>
      </c>
      <c r="C20" s="60" t="s">
        <v>844</v>
      </c>
      <c r="D20" s="12" t="s">
        <v>473</v>
      </c>
      <c r="E20" s="12" t="s">
        <v>845</v>
      </c>
      <c r="F20" s="10">
        <v>83249</v>
      </c>
      <c r="G20" s="10">
        <v>15945</v>
      </c>
      <c r="H20" s="10">
        <v>4022</v>
      </c>
      <c r="N20" s="12" t="s">
        <v>105</v>
      </c>
      <c r="P20" t="s">
        <v>122</v>
      </c>
      <c r="Q20" s="71">
        <f>F20+F22+F23+F28+F30+F29</f>
        <v>684595</v>
      </c>
    </row>
    <row r="21" spans="1:17" x14ac:dyDescent="0.3">
      <c r="A21" s="12" t="s">
        <v>114</v>
      </c>
      <c r="B21" s="12" t="s">
        <v>74</v>
      </c>
      <c r="C21" s="9" t="s">
        <v>834</v>
      </c>
      <c r="D21" s="9" t="s">
        <v>94</v>
      </c>
      <c r="E21" s="9" t="s">
        <v>113</v>
      </c>
      <c r="F21" s="10">
        <v>83987</v>
      </c>
      <c r="G21" s="10">
        <v>13726</v>
      </c>
      <c r="H21" s="10">
        <v>6360</v>
      </c>
      <c r="N21" s="12" t="s">
        <v>105</v>
      </c>
      <c r="P21" t="s">
        <v>125</v>
      </c>
    </row>
    <row r="22" spans="1:17" x14ac:dyDescent="0.3">
      <c r="A22" s="12" t="s">
        <v>115</v>
      </c>
      <c r="B22" s="12" t="s">
        <v>74</v>
      </c>
      <c r="C22" s="9" t="s">
        <v>834</v>
      </c>
      <c r="D22" s="9" t="s">
        <v>94</v>
      </c>
      <c r="E22" s="9" t="s">
        <v>113</v>
      </c>
      <c r="F22" s="10">
        <v>89139</v>
      </c>
      <c r="G22" s="10">
        <v>14784</v>
      </c>
      <c r="H22" s="10">
        <v>6095</v>
      </c>
      <c r="N22" s="12" t="s">
        <v>105</v>
      </c>
      <c r="P22" t="s">
        <v>130</v>
      </c>
    </row>
    <row r="23" spans="1:17" x14ac:dyDescent="0.3">
      <c r="A23" s="12" t="s">
        <v>288</v>
      </c>
      <c r="B23" s="12" t="s">
        <v>289</v>
      </c>
      <c r="C23" s="12" t="s">
        <v>290</v>
      </c>
      <c r="D23" s="12" t="s">
        <v>94</v>
      </c>
      <c r="E23" s="12" t="s">
        <v>291</v>
      </c>
      <c r="F23" s="10">
        <v>89404</v>
      </c>
      <c r="G23" s="10">
        <v>20416</v>
      </c>
      <c r="H23" s="10">
        <v>4046</v>
      </c>
      <c r="N23" s="12" t="s">
        <v>105</v>
      </c>
    </row>
    <row r="24" spans="1:17" x14ac:dyDescent="0.3">
      <c r="A24" s="12" t="s">
        <v>57</v>
      </c>
      <c r="B24" s="12" t="s">
        <v>60</v>
      </c>
      <c r="C24" s="9" t="s">
        <v>88</v>
      </c>
      <c r="D24" s="9" t="s">
        <v>76</v>
      </c>
      <c r="E24" s="9" t="s">
        <v>89</v>
      </c>
      <c r="F24" s="10">
        <v>94839</v>
      </c>
      <c r="G24" s="10">
        <v>19480</v>
      </c>
      <c r="H24" s="22">
        <v>5825</v>
      </c>
      <c r="N24" s="12" t="s">
        <v>105</v>
      </c>
    </row>
    <row r="25" spans="1:17" x14ac:dyDescent="0.3">
      <c r="A25" s="12" t="s">
        <v>434</v>
      </c>
      <c r="B25" s="12" t="s">
        <v>447</v>
      </c>
      <c r="C25" s="12" t="s">
        <v>446</v>
      </c>
      <c r="D25" s="12" t="s">
        <v>103</v>
      </c>
      <c r="E25" s="12" t="s">
        <v>401</v>
      </c>
      <c r="F25" s="10">
        <v>98181</v>
      </c>
      <c r="G25" s="10">
        <v>23665</v>
      </c>
      <c r="H25" s="10">
        <v>3607</v>
      </c>
      <c r="N25" s="12" t="s">
        <v>328</v>
      </c>
    </row>
    <row r="26" spans="1:17" x14ac:dyDescent="0.3">
      <c r="A26" s="12" t="s">
        <v>317</v>
      </c>
      <c r="B26" s="12" t="s">
        <v>320</v>
      </c>
      <c r="C26" s="12" t="s">
        <v>323</v>
      </c>
      <c r="D26" s="12" t="s">
        <v>324</v>
      </c>
      <c r="E26" s="12" t="s">
        <v>325</v>
      </c>
      <c r="F26" s="10">
        <v>106504</v>
      </c>
      <c r="G26" s="10">
        <v>15814</v>
      </c>
      <c r="H26" s="10">
        <v>2132</v>
      </c>
      <c r="N26" s="12" t="s">
        <v>328</v>
      </c>
    </row>
    <row r="27" spans="1:17" x14ac:dyDescent="0.3">
      <c r="A27" s="12" t="s">
        <v>384</v>
      </c>
      <c r="B27" s="12" t="s">
        <v>408</v>
      </c>
      <c r="C27" s="12" t="s">
        <v>410</v>
      </c>
      <c r="D27" s="12" t="s">
        <v>94</v>
      </c>
      <c r="E27" s="12" t="s">
        <v>113</v>
      </c>
      <c r="F27" s="10">
        <v>129060</v>
      </c>
      <c r="G27" s="10">
        <v>26015</v>
      </c>
      <c r="H27" s="10">
        <v>4769</v>
      </c>
      <c r="N27" s="12" t="s">
        <v>105</v>
      </c>
    </row>
    <row r="28" spans="1:17" x14ac:dyDescent="0.3">
      <c r="A28" s="12" t="s">
        <v>850</v>
      </c>
      <c r="B28" s="12" t="s">
        <v>851</v>
      </c>
      <c r="C28" s="56" t="s">
        <v>852</v>
      </c>
      <c r="D28" s="12" t="s">
        <v>311</v>
      </c>
      <c r="E28" s="12" t="s">
        <v>188</v>
      </c>
      <c r="F28" s="10">
        <v>129869</v>
      </c>
      <c r="G28" s="10">
        <v>25531</v>
      </c>
      <c r="H28" s="10">
        <v>5150</v>
      </c>
      <c r="N28" s="12" t="s">
        <v>105</v>
      </c>
    </row>
    <row r="29" spans="1:17" x14ac:dyDescent="0.3">
      <c r="A29" s="12" t="s">
        <v>392</v>
      </c>
      <c r="B29" s="12" t="s">
        <v>431</v>
      </c>
      <c r="C29" s="12" t="s">
        <v>432</v>
      </c>
      <c r="D29" s="12" t="s">
        <v>103</v>
      </c>
      <c r="E29" s="12" t="s">
        <v>401</v>
      </c>
      <c r="F29" s="10">
        <v>131749</v>
      </c>
      <c r="G29" s="10">
        <v>35096</v>
      </c>
      <c r="H29" s="10">
        <v>5232</v>
      </c>
      <c r="N29" s="12" t="s">
        <v>328</v>
      </c>
    </row>
    <row r="30" spans="1:17" x14ac:dyDescent="0.3">
      <c r="A30" s="12" t="s">
        <v>805</v>
      </c>
      <c r="B30" s="12" t="s">
        <v>807</v>
      </c>
      <c r="C30" s="54" t="s">
        <v>808</v>
      </c>
      <c r="D30" s="54" t="s">
        <v>103</v>
      </c>
      <c r="E30" s="54" t="s">
        <v>141</v>
      </c>
      <c r="F30" s="55">
        <v>161185</v>
      </c>
      <c r="G30" s="55">
        <v>36251</v>
      </c>
      <c r="H30" s="72">
        <v>5787</v>
      </c>
      <c r="I30" s="30"/>
      <c r="K30" s="30"/>
      <c r="N30" s="12" t="s">
        <v>105</v>
      </c>
    </row>
    <row r="31" spans="1:17" x14ac:dyDescent="0.3">
      <c r="A31" s="12" t="s">
        <v>477</v>
      </c>
      <c r="B31" s="12" t="s">
        <v>500</v>
      </c>
      <c r="C31" s="12" t="s">
        <v>501</v>
      </c>
      <c r="D31" s="12" t="s">
        <v>76</v>
      </c>
      <c r="E31" s="12" t="s">
        <v>502</v>
      </c>
      <c r="F31" s="10">
        <v>162201</v>
      </c>
      <c r="G31" s="10">
        <v>36397</v>
      </c>
      <c r="H31" s="10">
        <v>6415</v>
      </c>
      <c r="N31" s="12" t="s">
        <v>328</v>
      </c>
    </row>
    <row r="32" spans="1:17" x14ac:dyDescent="0.3">
      <c r="A32" s="12" t="s">
        <v>66</v>
      </c>
      <c r="B32" s="12" t="s">
        <v>67</v>
      </c>
      <c r="C32" s="9" t="s">
        <v>96</v>
      </c>
      <c r="D32" s="9" t="s">
        <v>94</v>
      </c>
      <c r="E32" s="9" t="s">
        <v>97</v>
      </c>
      <c r="F32" s="10">
        <v>174679</v>
      </c>
      <c r="G32" s="10">
        <v>26619</v>
      </c>
      <c r="H32" s="22">
        <v>6630</v>
      </c>
      <c r="N32" s="12" t="s">
        <v>105</v>
      </c>
      <c r="P32" t="s">
        <v>122</v>
      </c>
      <c r="Q32" s="71">
        <f>F32+F34+F35+F36+F38+F39+F41+F43</f>
        <v>847603</v>
      </c>
    </row>
    <row r="33" spans="1:17" x14ac:dyDescent="0.3">
      <c r="A33" s="12" t="s">
        <v>488</v>
      </c>
      <c r="B33" s="12" t="s">
        <v>498</v>
      </c>
      <c r="C33" s="12" t="s">
        <v>532</v>
      </c>
      <c r="D33" s="12" t="s">
        <v>94</v>
      </c>
      <c r="E33" s="12" t="s">
        <v>516</v>
      </c>
      <c r="F33" s="10">
        <v>179000</v>
      </c>
      <c r="G33" s="10">
        <v>39815</v>
      </c>
      <c r="H33" s="10">
        <v>6080</v>
      </c>
      <c r="N33" s="12" t="s">
        <v>328</v>
      </c>
      <c r="P33" t="s">
        <v>125</v>
      </c>
      <c r="Q33" s="71">
        <f>F33+F37+F40+F42</f>
        <v>250101</v>
      </c>
    </row>
    <row r="34" spans="1:17" x14ac:dyDescent="0.3">
      <c r="A34" s="12" t="s">
        <v>488</v>
      </c>
      <c r="B34" s="12" t="s">
        <v>530</v>
      </c>
      <c r="C34" s="12" t="s">
        <v>531</v>
      </c>
      <c r="D34" s="12" t="s">
        <v>94</v>
      </c>
      <c r="E34" s="12" t="s">
        <v>516</v>
      </c>
      <c r="F34" s="10">
        <v>188754</v>
      </c>
      <c r="G34" s="10">
        <v>41579</v>
      </c>
      <c r="H34" s="10">
        <v>6845</v>
      </c>
      <c r="N34" s="12" t="s">
        <v>328</v>
      </c>
      <c r="P34" t="s">
        <v>105</v>
      </c>
    </row>
    <row r="35" spans="1:17" x14ac:dyDescent="0.3">
      <c r="A35" s="12" t="s">
        <v>488</v>
      </c>
      <c r="B35" s="12" t="s">
        <v>499</v>
      </c>
      <c r="C35" s="12" t="s">
        <v>531</v>
      </c>
      <c r="D35" s="12" t="s">
        <v>94</v>
      </c>
      <c r="E35" s="12" t="s">
        <v>516</v>
      </c>
      <c r="F35" s="10">
        <v>188754</v>
      </c>
      <c r="G35" s="10">
        <v>41579</v>
      </c>
      <c r="H35" s="10">
        <v>6845</v>
      </c>
      <c r="N35" s="12" t="s">
        <v>328</v>
      </c>
      <c r="P35" t="s">
        <v>416</v>
      </c>
    </row>
    <row r="36" spans="1:17" x14ac:dyDescent="0.3">
      <c r="A36" s="12" t="s">
        <v>829</v>
      </c>
      <c r="B36" s="12" t="s">
        <v>830</v>
      </c>
      <c r="C36" s="60" t="s">
        <v>831</v>
      </c>
      <c r="D36" s="60" t="s">
        <v>94</v>
      </c>
      <c r="E36" s="73" t="s">
        <v>95</v>
      </c>
      <c r="F36" s="77">
        <v>193516</v>
      </c>
      <c r="G36" s="76">
        <v>40897</v>
      </c>
      <c r="H36" s="76">
        <v>6757</v>
      </c>
      <c r="I36" s="30"/>
      <c r="J36" s="18"/>
      <c r="K36" s="30"/>
      <c r="N36" s="12" t="s">
        <v>105</v>
      </c>
      <c r="Q36" s="71">
        <f>Q32+Q33</f>
        <v>1097704</v>
      </c>
    </row>
    <row r="37" spans="1:17" x14ac:dyDescent="0.3">
      <c r="A37" s="12" t="s">
        <v>63</v>
      </c>
      <c r="B37" s="12" t="s">
        <v>64</v>
      </c>
      <c r="C37" s="9" t="s">
        <v>109</v>
      </c>
      <c r="D37" s="9" t="s">
        <v>110</v>
      </c>
      <c r="E37" s="9" t="s">
        <v>111</v>
      </c>
      <c r="F37" s="10">
        <v>56601</v>
      </c>
      <c r="G37" s="10">
        <v>9138</v>
      </c>
      <c r="H37" s="20"/>
      <c r="N37" s="12" t="s">
        <v>191</v>
      </c>
    </row>
    <row r="38" spans="1:17" x14ac:dyDescent="0.3">
      <c r="A38" s="9"/>
      <c r="B38" s="9" t="s">
        <v>194</v>
      </c>
      <c r="C38" s="52" t="s">
        <v>220</v>
      </c>
      <c r="D38" s="9" t="s">
        <v>202</v>
      </c>
      <c r="E38" s="9" t="s">
        <v>201</v>
      </c>
      <c r="F38" s="10">
        <v>12000</v>
      </c>
      <c r="G38" s="23"/>
      <c r="H38" s="23"/>
      <c r="I38" s="24"/>
      <c r="J38" s="24"/>
      <c r="K38" s="61"/>
      <c r="L38" s="27"/>
      <c r="M38" s="28"/>
      <c r="N38" s="12" t="s">
        <v>130</v>
      </c>
    </row>
    <row r="39" spans="1:17" x14ac:dyDescent="0.3">
      <c r="A39" s="9"/>
      <c r="B39" s="9" t="s">
        <v>196</v>
      </c>
      <c r="C39" s="52" t="s">
        <v>245</v>
      </c>
      <c r="D39" s="9" t="s">
        <v>202</v>
      </c>
      <c r="E39" s="9" t="s">
        <v>201</v>
      </c>
      <c r="F39" s="10">
        <v>14500</v>
      </c>
      <c r="G39" s="23"/>
      <c r="H39" s="23"/>
      <c r="I39" s="24"/>
      <c r="J39" s="24"/>
      <c r="K39" s="61"/>
      <c r="L39" s="27"/>
      <c r="M39" s="28"/>
      <c r="N39" s="12" t="s">
        <v>130</v>
      </c>
    </row>
    <row r="40" spans="1:17" x14ac:dyDescent="0.3">
      <c r="A40" s="9"/>
      <c r="B40" s="9" t="s">
        <v>197</v>
      </c>
      <c r="C40" s="9" t="s">
        <v>203</v>
      </c>
      <c r="D40" s="9" t="s">
        <v>202</v>
      </c>
      <c r="E40" s="9" t="s">
        <v>201</v>
      </c>
      <c r="F40" s="10">
        <v>14500</v>
      </c>
      <c r="H40" s="23"/>
      <c r="I40" s="24"/>
      <c r="J40" s="10"/>
      <c r="K40" s="61"/>
      <c r="L40" s="27"/>
      <c r="M40" s="28"/>
      <c r="N40" s="12" t="s">
        <v>130</v>
      </c>
    </row>
    <row r="41" spans="1:17" x14ac:dyDescent="0.3">
      <c r="A41" s="12" t="s">
        <v>47</v>
      </c>
      <c r="B41" s="12" t="s">
        <v>234</v>
      </c>
      <c r="C41" s="12" t="s">
        <v>233</v>
      </c>
      <c r="D41" s="12" t="s">
        <v>110</v>
      </c>
      <c r="E41" s="12" t="s">
        <v>81</v>
      </c>
      <c r="F41" s="21">
        <v>50030</v>
      </c>
      <c r="N41" s="12" t="s">
        <v>130</v>
      </c>
    </row>
    <row r="42" spans="1:17" x14ac:dyDescent="0.3">
      <c r="A42" s="12" t="s">
        <v>154</v>
      </c>
      <c r="B42" s="12" t="s">
        <v>217</v>
      </c>
      <c r="C42" s="9" t="s">
        <v>218</v>
      </c>
      <c r="D42" s="12" t="s">
        <v>219</v>
      </c>
      <c r="E42" s="12" t="s">
        <v>201</v>
      </c>
      <c r="F42" s="30"/>
      <c r="G42" s="23"/>
      <c r="H42" s="23"/>
      <c r="I42" s="24"/>
      <c r="J42" s="24"/>
      <c r="K42" s="61"/>
      <c r="L42" s="27"/>
      <c r="M42" s="28"/>
      <c r="N42" s="12" t="s">
        <v>181</v>
      </c>
    </row>
    <row r="43" spans="1:17" x14ac:dyDescent="0.3">
      <c r="A43" s="12" t="s">
        <v>273</v>
      </c>
      <c r="B43" s="12" t="s">
        <v>274</v>
      </c>
      <c r="C43" s="12" t="s">
        <v>275</v>
      </c>
      <c r="D43" s="12" t="s">
        <v>137</v>
      </c>
      <c r="E43" s="12" t="s">
        <v>276</v>
      </c>
      <c r="F43" s="10">
        <v>25370</v>
      </c>
      <c r="G43" s="10">
        <v>4862</v>
      </c>
      <c r="H43" s="10">
        <v>1818</v>
      </c>
      <c r="N43" s="12" t="s">
        <v>122</v>
      </c>
    </row>
    <row r="44" spans="1:17" x14ac:dyDescent="0.3">
      <c r="A44" s="12" t="s">
        <v>39</v>
      </c>
      <c r="B44" s="12" t="s">
        <v>227</v>
      </c>
      <c r="C44" s="52" t="s">
        <v>226</v>
      </c>
      <c r="D44" s="12" t="s">
        <v>137</v>
      </c>
      <c r="E44" s="12" t="s">
        <v>79</v>
      </c>
      <c r="F44" s="21">
        <v>28067</v>
      </c>
      <c r="N44" s="12" t="s">
        <v>122</v>
      </c>
      <c r="P44" t="s">
        <v>122</v>
      </c>
      <c r="Q44" s="71">
        <f>F46+F49+F51+F53+F54+F58+F61</f>
        <v>396253</v>
      </c>
    </row>
    <row r="45" spans="1:17" x14ac:dyDescent="0.3">
      <c r="A45" s="12" t="s">
        <v>30</v>
      </c>
      <c r="B45" s="12" t="s">
        <v>31</v>
      </c>
      <c r="C45" s="9" t="s">
        <v>78</v>
      </c>
      <c r="D45" s="9" t="s">
        <v>76</v>
      </c>
      <c r="E45" s="9" t="s">
        <v>79</v>
      </c>
      <c r="F45" s="10">
        <v>28515</v>
      </c>
      <c r="N45" s="12" t="s">
        <v>122</v>
      </c>
      <c r="P45" t="s">
        <v>125</v>
      </c>
      <c r="Q45" s="71">
        <f>F44+F45+F59+F48+F55+F56</f>
        <v>297340</v>
      </c>
    </row>
    <row r="46" spans="1:17" x14ac:dyDescent="0.3">
      <c r="A46" s="12" t="s">
        <v>151</v>
      </c>
      <c r="B46" s="12" t="s">
        <v>162</v>
      </c>
      <c r="C46" s="52" t="s">
        <v>225</v>
      </c>
      <c r="D46" s="12" t="s">
        <v>171</v>
      </c>
      <c r="E46" s="12" t="s">
        <v>175</v>
      </c>
      <c r="F46" s="18">
        <v>30000</v>
      </c>
      <c r="G46" s="23"/>
      <c r="H46" s="23"/>
      <c r="I46" s="24"/>
      <c r="J46" s="24"/>
      <c r="K46" s="61"/>
      <c r="L46" s="27"/>
      <c r="M46" s="28"/>
      <c r="N46" s="12" t="s">
        <v>179</v>
      </c>
      <c r="P46" t="s">
        <v>105</v>
      </c>
      <c r="Q46" s="71">
        <f>F47+F50+F52+F57</f>
        <v>195785</v>
      </c>
    </row>
    <row r="47" spans="1:17" x14ac:dyDescent="0.3">
      <c r="A47" s="12" t="s">
        <v>380</v>
      </c>
      <c r="B47" s="12" t="s">
        <v>393</v>
      </c>
      <c r="C47" s="12" t="s">
        <v>398</v>
      </c>
      <c r="D47" s="12" t="s">
        <v>76</v>
      </c>
      <c r="E47" s="12" t="s">
        <v>79</v>
      </c>
      <c r="F47" s="10">
        <v>30635</v>
      </c>
      <c r="G47" s="10">
        <v>6814</v>
      </c>
      <c r="H47" s="10">
        <v>1905</v>
      </c>
      <c r="N47" s="12" t="s">
        <v>122</v>
      </c>
    </row>
    <row r="48" spans="1:17" x14ac:dyDescent="0.3">
      <c r="A48" s="12" t="s">
        <v>847</v>
      </c>
      <c r="B48" s="12" t="s">
        <v>846</v>
      </c>
      <c r="C48" s="12" t="s">
        <v>848</v>
      </c>
      <c r="D48" s="12" t="s">
        <v>311</v>
      </c>
      <c r="E48" s="12" t="s">
        <v>849</v>
      </c>
      <c r="F48" s="18">
        <v>32932</v>
      </c>
      <c r="G48" s="30">
        <v>4438</v>
      </c>
      <c r="H48" s="30">
        <v>3854</v>
      </c>
      <c r="N48" s="12" t="s">
        <v>122</v>
      </c>
      <c r="Q48" s="71">
        <f>Q44+Q45+Q46</f>
        <v>889378</v>
      </c>
    </row>
    <row r="49" spans="1:17" x14ac:dyDescent="0.3">
      <c r="A49" s="12" t="s">
        <v>117</v>
      </c>
      <c r="B49" s="12" t="s">
        <v>119</v>
      </c>
      <c r="C49" s="9" t="s">
        <v>120</v>
      </c>
      <c r="D49" s="9" t="s">
        <v>110</v>
      </c>
      <c r="E49" s="9" t="s">
        <v>121</v>
      </c>
      <c r="F49" s="10">
        <v>38792</v>
      </c>
      <c r="G49" s="10">
        <v>7712</v>
      </c>
      <c r="H49" s="22">
        <v>1776</v>
      </c>
      <c r="N49" s="12" t="s">
        <v>122</v>
      </c>
    </row>
    <row r="50" spans="1:17" x14ac:dyDescent="0.3">
      <c r="A50" s="12" t="s">
        <v>61</v>
      </c>
      <c r="B50" s="12" t="s">
        <v>62</v>
      </c>
      <c r="C50" s="9" t="s">
        <v>108</v>
      </c>
      <c r="D50" s="9" t="s">
        <v>107</v>
      </c>
      <c r="E50" s="9" t="s">
        <v>107</v>
      </c>
      <c r="F50" s="10">
        <v>42350</v>
      </c>
      <c r="G50" s="10">
        <v>8202</v>
      </c>
      <c r="H50" s="22">
        <v>2505</v>
      </c>
      <c r="N50" s="12" t="s">
        <v>122</v>
      </c>
    </row>
    <row r="51" spans="1:17" x14ac:dyDescent="0.3">
      <c r="A51" s="12" t="s">
        <v>253</v>
      </c>
      <c r="B51" s="12" t="s">
        <v>255</v>
      </c>
      <c r="C51" s="12" t="s">
        <v>262</v>
      </c>
      <c r="D51" s="12" t="s">
        <v>110</v>
      </c>
      <c r="E51" s="12" t="s">
        <v>81</v>
      </c>
      <c r="F51" s="10">
        <v>50320</v>
      </c>
      <c r="G51" s="10">
        <v>10180</v>
      </c>
      <c r="H51" s="10">
        <v>2188</v>
      </c>
      <c r="N51" s="12" t="s">
        <v>122</v>
      </c>
    </row>
    <row r="52" spans="1:17" x14ac:dyDescent="0.3">
      <c r="A52" s="12" t="s">
        <v>484</v>
      </c>
      <c r="B52" s="12" t="s">
        <v>522</v>
      </c>
      <c r="C52" s="12" t="s">
        <v>523</v>
      </c>
      <c r="D52" s="12" t="s">
        <v>103</v>
      </c>
      <c r="E52" s="12" t="s">
        <v>145</v>
      </c>
      <c r="F52" s="18">
        <v>55084</v>
      </c>
      <c r="N52" s="12" t="s">
        <v>122</v>
      </c>
    </row>
    <row r="53" spans="1:17" x14ac:dyDescent="0.3">
      <c r="A53" s="12" t="s">
        <v>387</v>
      </c>
      <c r="B53" s="54" t="s">
        <v>417</v>
      </c>
      <c r="C53" s="54" t="s">
        <v>418</v>
      </c>
      <c r="D53" s="54" t="s">
        <v>76</v>
      </c>
      <c r="E53" s="54" t="s">
        <v>270</v>
      </c>
      <c r="F53" s="55">
        <v>62274</v>
      </c>
      <c r="G53" s="55">
        <v>14808</v>
      </c>
      <c r="H53" s="55">
        <v>2472</v>
      </c>
      <c r="N53" s="12" t="s">
        <v>190</v>
      </c>
    </row>
    <row r="54" spans="1:17" x14ac:dyDescent="0.3">
      <c r="A54" s="12" t="s">
        <v>440</v>
      </c>
      <c r="B54" s="12" t="s">
        <v>464</v>
      </c>
      <c r="C54" s="12" t="s">
        <v>461</v>
      </c>
      <c r="D54" s="12" t="s">
        <v>94</v>
      </c>
      <c r="E54" s="12" t="s">
        <v>113</v>
      </c>
      <c r="F54" s="10">
        <v>66523</v>
      </c>
      <c r="G54" s="10">
        <v>13901</v>
      </c>
      <c r="H54" s="10">
        <v>3724</v>
      </c>
      <c r="N54" s="12" t="s">
        <v>190</v>
      </c>
    </row>
    <row r="55" spans="1:17" x14ac:dyDescent="0.3">
      <c r="A55" s="12" t="s">
        <v>51</v>
      </c>
      <c r="B55" s="12" t="s">
        <v>52</v>
      </c>
      <c r="C55" s="52" t="s">
        <v>236</v>
      </c>
      <c r="D55" s="12" t="s">
        <v>110</v>
      </c>
      <c r="E55" s="12" t="s">
        <v>81</v>
      </c>
      <c r="F55" s="21">
        <v>67405</v>
      </c>
      <c r="N55" s="12" t="s">
        <v>122</v>
      </c>
    </row>
    <row r="56" spans="1:17" x14ac:dyDescent="0.3">
      <c r="A56" s="12" t="s">
        <v>158</v>
      </c>
      <c r="B56" s="12" t="s">
        <v>168</v>
      </c>
      <c r="C56" s="12" t="s">
        <v>231</v>
      </c>
      <c r="D56" s="12" t="s">
        <v>170</v>
      </c>
      <c r="E56" s="12" t="s">
        <v>173</v>
      </c>
      <c r="F56" s="18">
        <v>67421</v>
      </c>
      <c r="G56" s="23"/>
      <c r="H56" s="23"/>
      <c r="I56" s="24"/>
      <c r="J56" s="24"/>
      <c r="K56" s="61"/>
      <c r="L56" s="27"/>
      <c r="M56" s="28"/>
      <c r="N56" s="12" t="s">
        <v>179</v>
      </c>
    </row>
    <row r="57" spans="1:17" x14ac:dyDescent="0.3">
      <c r="A57" s="12" t="s">
        <v>332</v>
      </c>
      <c r="B57" s="12" t="s">
        <v>333</v>
      </c>
      <c r="C57" s="12" t="s">
        <v>334</v>
      </c>
      <c r="D57" s="12" t="s">
        <v>76</v>
      </c>
      <c r="E57" s="12" t="s">
        <v>145</v>
      </c>
      <c r="F57" s="10">
        <v>67716</v>
      </c>
      <c r="G57" s="10">
        <v>15510</v>
      </c>
      <c r="H57" s="10">
        <v>2100</v>
      </c>
      <c r="N57" s="12" t="s">
        <v>190</v>
      </c>
    </row>
    <row r="58" spans="1:17" x14ac:dyDescent="0.3">
      <c r="A58" s="12" t="s">
        <v>379</v>
      </c>
      <c r="B58" s="12" t="s">
        <v>475</v>
      </c>
      <c r="C58" s="56" t="s">
        <v>476</v>
      </c>
      <c r="D58" s="56" t="s">
        <v>76</v>
      </c>
      <c r="E58" s="56" t="s">
        <v>401</v>
      </c>
      <c r="F58" s="18">
        <v>70904</v>
      </c>
      <c r="G58" s="59">
        <v>15736</v>
      </c>
      <c r="H58" s="59">
        <v>3232</v>
      </c>
      <c r="N58" s="12" t="s">
        <v>190</v>
      </c>
      <c r="Q58" s="71"/>
    </row>
    <row r="59" spans="1:17" x14ac:dyDescent="0.3">
      <c r="A59" s="9" t="s">
        <v>246</v>
      </c>
      <c r="B59" s="9" t="s">
        <v>195</v>
      </c>
      <c r="C59" s="52" t="s">
        <v>210</v>
      </c>
      <c r="D59" s="9" t="s">
        <v>76</v>
      </c>
      <c r="E59" s="9" t="s">
        <v>95</v>
      </c>
      <c r="F59" s="10">
        <v>73000</v>
      </c>
      <c r="G59" s="23"/>
      <c r="H59" s="23"/>
      <c r="I59" s="24"/>
      <c r="J59" s="24"/>
      <c r="K59" s="61"/>
      <c r="L59" s="27"/>
      <c r="M59" s="28"/>
      <c r="N59" s="12" t="s">
        <v>122</v>
      </c>
      <c r="Q59" s="71"/>
    </row>
    <row r="60" spans="1:17" x14ac:dyDescent="0.3">
      <c r="A60" s="12" t="s">
        <v>312</v>
      </c>
      <c r="B60" s="12" t="s">
        <v>313</v>
      </c>
      <c r="C60" s="12" t="s">
        <v>314</v>
      </c>
      <c r="D60" s="12" t="s">
        <v>76</v>
      </c>
      <c r="E60" s="12" t="s">
        <v>315</v>
      </c>
      <c r="F60" s="10">
        <v>75459</v>
      </c>
      <c r="G60" s="10">
        <v>13168</v>
      </c>
      <c r="H60" s="10">
        <v>3669</v>
      </c>
      <c r="N60" s="12" t="s">
        <v>122</v>
      </c>
    </row>
    <row r="61" spans="1:17" x14ac:dyDescent="0.3">
      <c r="A61" s="12" t="s">
        <v>153</v>
      </c>
      <c r="B61" s="12" t="s">
        <v>164</v>
      </c>
      <c r="C61" s="52" t="s">
        <v>204</v>
      </c>
      <c r="D61" s="12" t="s">
        <v>172</v>
      </c>
      <c r="E61" s="12" t="s">
        <v>177</v>
      </c>
      <c r="F61" s="18">
        <v>77440</v>
      </c>
      <c r="G61" s="23"/>
      <c r="H61" s="23"/>
      <c r="I61" s="24"/>
      <c r="J61" s="24"/>
      <c r="K61" s="61"/>
      <c r="L61" s="27"/>
      <c r="M61" s="28"/>
      <c r="N61" s="12" t="s">
        <v>179</v>
      </c>
    </row>
    <row r="62" spans="1:17" x14ac:dyDescent="0.3">
      <c r="A62" s="12" t="s">
        <v>98</v>
      </c>
      <c r="B62" s="12" t="s">
        <v>101</v>
      </c>
      <c r="C62" s="9" t="s">
        <v>102</v>
      </c>
      <c r="D62" s="9" t="s">
        <v>103</v>
      </c>
      <c r="E62" s="9" t="s">
        <v>104</v>
      </c>
      <c r="F62" s="10">
        <v>84788</v>
      </c>
      <c r="G62" s="30"/>
      <c r="H62" s="20"/>
      <c r="N62" s="12" t="s">
        <v>122</v>
      </c>
      <c r="P62" t="s">
        <v>122</v>
      </c>
      <c r="Q62" s="71">
        <f>F64+F65+F66+F67+F74+F77</f>
        <v>723121</v>
      </c>
    </row>
    <row r="63" spans="1:17" x14ac:dyDescent="0.3">
      <c r="A63" s="12" t="s">
        <v>490</v>
      </c>
      <c r="B63" s="12" t="s">
        <v>542</v>
      </c>
      <c r="C63" s="12" t="s">
        <v>543</v>
      </c>
      <c r="D63" s="12" t="s">
        <v>103</v>
      </c>
      <c r="E63" s="12" t="s">
        <v>89</v>
      </c>
      <c r="F63" s="18">
        <v>95093</v>
      </c>
      <c r="N63" s="12" t="s">
        <v>190</v>
      </c>
      <c r="P63" t="s">
        <v>125</v>
      </c>
      <c r="Q63" s="71">
        <f>F68+F69+F70+F72+F75+F81+F82+F83</f>
        <v>1177201</v>
      </c>
    </row>
    <row r="64" spans="1:17" x14ac:dyDescent="0.3">
      <c r="A64" s="12" t="s">
        <v>371</v>
      </c>
      <c r="B64" s="12" t="s">
        <v>376</v>
      </c>
      <c r="C64" s="12" t="s">
        <v>372</v>
      </c>
      <c r="D64" s="12" t="s">
        <v>94</v>
      </c>
      <c r="E64" s="12" t="s">
        <v>373</v>
      </c>
      <c r="F64" s="10">
        <v>101008</v>
      </c>
      <c r="G64" s="10">
        <v>16500</v>
      </c>
      <c r="H64" s="10">
        <v>3096</v>
      </c>
      <c r="N64" s="12" t="s">
        <v>122</v>
      </c>
      <c r="P64" t="s">
        <v>105</v>
      </c>
      <c r="Q64" s="71">
        <f>F62+F63+F71+F76+F78+F79+F80</f>
        <v>928158</v>
      </c>
    </row>
    <row r="65" spans="1:17" x14ac:dyDescent="0.3">
      <c r="A65" s="12" t="s">
        <v>489</v>
      </c>
      <c r="B65" s="12" t="s">
        <v>539</v>
      </c>
      <c r="C65" s="12" t="s">
        <v>540</v>
      </c>
      <c r="D65" s="12" t="s">
        <v>311</v>
      </c>
      <c r="E65" s="12" t="s">
        <v>79</v>
      </c>
      <c r="F65" s="18">
        <v>102297</v>
      </c>
      <c r="G65" s="30">
        <v>20634</v>
      </c>
      <c r="H65" s="30">
        <v>3934</v>
      </c>
      <c r="J65" s="18"/>
      <c r="N65" s="12" t="s">
        <v>122</v>
      </c>
    </row>
    <row r="66" spans="1:17" x14ac:dyDescent="0.3">
      <c r="A66" s="9" t="s">
        <v>192</v>
      </c>
      <c r="B66" s="9" t="s">
        <v>193</v>
      </c>
      <c r="C66" s="52" t="s">
        <v>206</v>
      </c>
      <c r="D66" s="9" t="s">
        <v>110</v>
      </c>
      <c r="E66" s="9" t="s">
        <v>610</v>
      </c>
      <c r="F66" s="10">
        <v>110000</v>
      </c>
      <c r="G66" s="23"/>
      <c r="H66" s="23"/>
      <c r="I66" s="24"/>
      <c r="J66" s="24"/>
      <c r="K66" s="61"/>
      <c r="L66" s="27"/>
      <c r="M66" s="28"/>
      <c r="N66" s="12" t="s">
        <v>122</v>
      </c>
      <c r="Q66" s="71">
        <f>Q62+Q63+Q64</f>
        <v>2828480</v>
      </c>
    </row>
    <row r="67" spans="1:17" x14ac:dyDescent="0.3">
      <c r="A67" s="12" t="s">
        <v>252</v>
      </c>
      <c r="B67" s="12" t="s">
        <v>256</v>
      </c>
      <c r="C67" s="12" t="s">
        <v>262</v>
      </c>
      <c r="D67" s="12" t="s">
        <v>110</v>
      </c>
      <c r="E67" s="12" t="s">
        <v>81</v>
      </c>
      <c r="F67" s="10">
        <v>116450</v>
      </c>
      <c r="G67" s="10">
        <v>24453</v>
      </c>
      <c r="H67" s="10">
        <v>4499</v>
      </c>
      <c r="N67" s="12" t="s">
        <v>122</v>
      </c>
    </row>
    <row r="68" spans="1:17" x14ac:dyDescent="0.3">
      <c r="A68" s="12" t="s">
        <v>251</v>
      </c>
      <c r="B68" s="12" t="s">
        <v>257</v>
      </c>
      <c r="C68" s="12" t="s">
        <v>262</v>
      </c>
      <c r="D68" s="12" t="s">
        <v>110</v>
      </c>
      <c r="E68" s="12" t="s">
        <v>81</v>
      </c>
      <c r="F68" s="10">
        <v>117490</v>
      </c>
      <c r="G68" s="10">
        <v>25433</v>
      </c>
      <c r="H68" s="10">
        <v>4659</v>
      </c>
      <c r="N68" s="12" t="s">
        <v>122</v>
      </c>
    </row>
    <row r="69" spans="1:17" x14ac:dyDescent="0.3">
      <c r="A69" s="12" t="s">
        <v>116</v>
      </c>
      <c r="B69" s="12" t="s">
        <v>118</v>
      </c>
      <c r="C69" s="9" t="s">
        <v>120</v>
      </c>
      <c r="D69" s="9" t="s">
        <v>110</v>
      </c>
      <c r="E69" s="9" t="s">
        <v>121</v>
      </c>
      <c r="F69" s="10">
        <v>120619</v>
      </c>
      <c r="G69" s="22">
        <v>26855</v>
      </c>
      <c r="H69" s="22">
        <v>6524</v>
      </c>
      <c r="N69" s="12" t="s">
        <v>122</v>
      </c>
    </row>
    <row r="70" spans="1:17" x14ac:dyDescent="0.3">
      <c r="A70" s="12" t="s">
        <v>308</v>
      </c>
      <c r="B70" s="12" t="s">
        <v>309</v>
      </c>
      <c r="C70" s="12" t="s">
        <v>310</v>
      </c>
      <c r="D70" s="12" t="s">
        <v>311</v>
      </c>
      <c r="E70" s="12" t="s">
        <v>121</v>
      </c>
      <c r="F70" s="10">
        <v>125197</v>
      </c>
      <c r="G70" s="10">
        <v>31103</v>
      </c>
      <c r="H70" s="10">
        <v>6558</v>
      </c>
      <c r="N70" s="12" t="s">
        <v>122</v>
      </c>
    </row>
    <row r="71" spans="1:17" x14ac:dyDescent="0.3">
      <c r="A71" s="12" t="s">
        <v>20</v>
      </c>
      <c r="B71" s="12" t="s">
        <v>16</v>
      </c>
      <c r="C71" s="52" t="s">
        <v>207</v>
      </c>
      <c r="D71" s="12" t="s">
        <v>110</v>
      </c>
      <c r="E71" s="12" t="s">
        <v>141</v>
      </c>
      <c r="F71" s="18">
        <v>126673</v>
      </c>
      <c r="N71" s="12" t="s">
        <v>122</v>
      </c>
    </row>
    <row r="72" spans="1:17" x14ac:dyDescent="0.3">
      <c r="A72" s="12" t="s">
        <v>388</v>
      </c>
      <c r="B72" s="12" t="s">
        <v>419</v>
      </c>
      <c r="C72" s="12" t="s">
        <v>420</v>
      </c>
      <c r="D72" s="12" t="s">
        <v>76</v>
      </c>
      <c r="E72" s="12" t="s">
        <v>146</v>
      </c>
      <c r="F72" s="10">
        <v>131149</v>
      </c>
      <c r="G72" s="10">
        <v>33058</v>
      </c>
      <c r="H72" s="10">
        <v>5103</v>
      </c>
      <c r="N72" s="12" t="s">
        <v>190</v>
      </c>
    </row>
    <row r="73" spans="1:17" x14ac:dyDescent="0.3">
      <c r="A73" s="12" t="s">
        <v>56</v>
      </c>
      <c r="B73" s="12" t="s">
        <v>59</v>
      </c>
      <c r="C73" s="9" t="s">
        <v>106</v>
      </c>
      <c r="D73" s="9" t="s">
        <v>103</v>
      </c>
      <c r="E73" s="9" t="s">
        <v>81</v>
      </c>
      <c r="F73" s="10">
        <v>136814</v>
      </c>
      <c r="G73" s="10">
        <v>31625</v>
      </c>
      <c r="H73" s="22">
        <v>4300</v>
      </c>
      <c r="N73" s="12" t="s">
        <v>122</v>
      </c>
    </row>
    <row r="74" spans="1:17" x14ac:dyDescent="0.3">
      <c r="A74" s="12" t="s">
        <v>341</v>
      </c>
      <c r="B74" s="12" t="s">
        <v>342</v>
      </c>
      <c r="C74" s="12" t="s">
        <v>343</v>
      </c>
      <c r="D74" s="12" t="s">
        <v>94</v>
      </c>
      <c r="E74" s="12" t="s">
        <v>81</v>
      </c>
      <c r="F74" s="10">
        <v>141428</v>
      </c>
      <c r="G74" s="10">
        <v>32008</v>
      </c>
      <c r="H74" s="10">
        <v>4732</v>
      </c>
      <c r="N74" s="12" t="s">
        <v>122</v>
      </c>
    </row>
    <row r="75" spans="1:17" x14ac:dyDescent="0.3">
      <c r="A75" s="12" t="s">
        <v>135</v>
      </c>
      <c r="B75" s="12" t="s">
        <v>50</v>
      </c>
      <c r="C75" s="52" t="s">
        <v>222</v>
      </c>
      <c r="D75" s="12" t="s">
        <v>94</v>
      </c>
      <c r="E75" s="12" t="s">
        <v>95</v>
      </c>
      <c r="F75" s="18">
        <v>143630</v>
      </c>
      <c r="N75" s="12" t="s">
        <v>122</v>
      </c>
    </row>
    <row r="76" spans="1:17" x14ac:dyDescent="0.3">
      <c r="A76" s="12" t="s">
        <v>24</v>
      </c>
      <c r="B76" s="12" t="s">
        <v>17</v>
      </c>
      <c r="C76" s="12" t="s">
        <v>232</v>
      </c>
      <c r="D76" s="12" t="s">
        <v>76</v>
      </c>
      <c r="E76" s="12" t="s">
        <v>146</v>
      </c>
      <c r="F76" s="18">
        <v>151595</v>
      </c>
      <c r="N76" s="12" t="s">
        <v>122</v>
      </c>
    </row>
    <row r="77" spans="1:17" x14ac:dyDescent="0.3">
      <c r="A77" s="12" t="s">
        <v>134</v>
      </c>
      <c r="B77" s="12" t="s">
        <v>133</v>
      </c>
      <c r="C77" s="12" t="s">
        <v>221</v>
      </c>
      <c r="D77" s="12" t="s">
        <v>94</v>
      </c>
      <c r="E77" s="12" t="s">
        <v>95</v>
      </c>
      <c r="F77" s="21">
        <v>151938</v>
      </c>
      <c r="N77" s="12" t="s">
        <v>122</v>
      </c>
    </row>
    <row r="78" spans="1:17" x14ac:dyDescent="0.3">
      <c r="A78" s="12" t="s">
        <v>815</v>
      </c>
      <c r="B78" s="12" t="s">
        <v>816</v>
      </c>
      <c r="C78" s="54" t="s">
        <v>817</v>
      </c>
      <c r="D78" s="54" t="s">
        <v>103</v>
      </c>
      <c r="E78" s="54" t="s">
        <v>81</v>
      </c>
      <c r="F78" s="55">
        <v>153522</v>
      </c>
      <c r="G78" s="78"/>
      <c r="H78" s="78"/>
      <c r="I78" s="78"/>
      <c r="J78" s="55"/>
      <c r="K78" s="78"/>
      <c r="N78" s="12" t="s">
        <v>122</v>
      </c>
    </row>
    <row r="79" spans="1:17" x14ac:dyDescent="0.3">
      <c r="A79" s="12" t="s">
        <v>486</v>
      </c>
      <c r="B79" s="12" t="s">
        <v>526</v>
      </c>
      <c r="C79" s="12" t="s">
        <v>527</v>
      </c>
      <c r="D79" s="12" t="s">
        <v>76</v>
      </c>
      <c r="E79" s="12" t="s">
        <v>145</v>
      </c>
      <c r="F79" s="10">
        <v>154398</v>
      </c>
      <c r="G79" s="10">
        <v>31291</v>
      </c>
      <c r="H79" s="10">
        <v>7572</v>
      </c>
      <c r="N79" s="12" t="s">
        <v>122</v>
      </c>
    </row>
    <row r="80" spans="1:17" x14ac:dyDescent="0.3">
      <c r="A80" s="12" t="s">
        <v>285</v>
      </c>
      <c r="B80" s="12" t="s">
        <v>286</v>
      </c>
      <c r="C80" s="12" t="s">
        <v>287</v>
      </c>
      <c r="D80" s="12" t="s">
        <v>76</v>
      </c>
      <c r="E80" s="12" t="s">
        <v>121</v>
      </c>
      <c r="F80" s="10">
        <v>162089</v>
      </c>
      <c r="G80" s="10">
        <v>31983</v>
      </c>
      <c r="H80" s="10">
        <v>4011</v>
      </c>
      <c r="N80" s="12" t="s">
        <v>122</v>
      </c>
    </row>
    <row r="81" spans="1:17" x14ac:dyDescent="0.3">
      <c r="A81" s="12" t="s">
        <v>123</v>
      </c>
      <c r="B81" s="12" t="s">
        <v>124</v>
      </c>
      <c r="C81" s="52" t="s">
        <v>235</v>
      </c>
      <c r="D81" s="12" t="s">
        <v>137</v>
      </c>
      <c r="E81" s="12" t="s">
        <v>95</v>
      </c>
      <c r="F81" s="21">
        <v>168710</v>
      </c>
      <c r="N81" s="12" t="s">
        <v>122</v>
      </c>
    </row>
    <row r="82" spans="1:17" x14ac:dyDescent="0.3">
      <c r="A82" s="12" t="s">
        <v>247</v>
      </c>
      <c r="B82" s="12" t="s">
        <v>254</v>
      </c>
      <c r="C82" s="12" t="s">
        <v>261</v>
      </c>
      <c r="D82" s="12" t="s">
        <v>110</v>
      </c>
      <c r="E82" s="12" t="s">
        <v>81</v>
      </c>
      <c r="F82" s="10">
        <v>176680</v>
      </c>
      <c r="G82" s="10">
        <v>36090</v>
      </c>
      <c r="H82" s="10">
        <v>6897</v>
      </c>
      <c r="N82" s="12" t="s">
        <v>122</v>
      </c>
    </row>
    <row r="83" spans="1:17" x14ac:dyDescent="0.3">
      <c r="A83" s="12" t="s">
        <v>377</v>
      </c>
      <c r="B83" s="12" t="s">
        <v>378</v>
      </c>
      <c r="C83" s="12" t="s">
        <v>866</v>
      </c>
      <c r="D83" s="12" t="s">
        <v>103</v>
      </c>
      <c r="E83" s="12" t="s">
        <v>865</v>
      </c>
      <c r="F83" s="18">
        <v>193726</v>
      </c>
      <c r="J83" s="18"/>
      <c r="N83" s="12" t="s">
        <v>122</v>
      </c>
    </row>
    <row r="84" spans="1:17" x14ac:dyDescent="0.3">
      <c r="A84" s="12" t="s">
        <v>36</v>
      </c>
      <c r="B84" s="12" t="s">
        <v>37</v>
      </c>
      <c r="C84" s="12" t="s">
        <v>223</v>
      </c>
      <c r="D84" s="12" t="s">
        <v>103</v>
      </c>
      <c r="E84" s="12" t="s">
        <v>141</v>
      </c>
      <c r="F84" s="21">
        <v>213000</v>
      </c>
      <c r="N84" s="12" t="s">
        <v>122</v>
      </c>
      <c r="P84" t="s">
        <v>122</v>
      </c>
      <c r="Q84" s="71">
        <f>F84+F85+F90+F93+F102</f>
        <v>603069</v>
      </c>
    </row>
    <row r="85" spans="1:17" x14ac:dyDescent="0.3">
      <c r="A85" s="12" t="s">
        <v>148</v>
      </c>
      <c r="B85" s="12" t="s">
        <v>160</v>
      </c>
      <c r="C85" s="12" t="s">
        <v>230</v>
      </c>
      <c r="D85" s="12" t="s">
        <v>170</v>
      </c>
      <c r="E85" s="12" t="s">
        <v>173</v>
      </c>
      <c r="F85" s="18">
        <v>242621</v>
      </c>
      <c r="G85" s="23"/>
      <c r="H85" s="23"/>
      <c r="I85" s="24"/>
      <c r="J85" s="24"/>
      <c r="K85" s="61"/>
      <c r="L85" s="27"/>
      <c r="M85" s="28"/>
      <c r="N85" s="12" t="s">
        <v>179</v>
      </c>
      <c r="P85" t="s">
        <v>125</v>
      </c>
      <c r="Q85" s="71">
        <f>F89+F92+F94+F95+F97</f>
        <v>361649</v>
      </c>
    </row>
    <row r="86" spans="1:17" x14ac:dyDescent="0.3">
      <c r="A86" s="12" t="s">
        <v>21</v>
      </c>
      <c r="B86" s="12" t="s">
        <v>14</v>
      </c>
      <c r="C86" s="52" t="s">
        <v>208</v>
      </c>
      <c r="D86" s="12" t="s">
        <v>103</v>
      </c>
      <c r="E86" s="12" t="s">
        <v>141</v>
      </c>
      <c r="F86" s="18">
        <v>258916</v>
      </c>
      <c r="N86" s="12" t="s">
        <v>122</v>
      </c>
      <c r="P86" t="s">
        <v>105</v>
      </c>
      <c r="Q86" s="71">
        <f>F86+F87+F88+F91+F96+F98+F99+F100+F101</f>
        <v>1467660</v>
      </c>
    </row>
    <row r="87" spans="1:17" x14ac:dyDescent="0.3">
      <c r="A87" s="12" t="s">
        <v>40</v>
      </c>
      <c r="B87" s="12" t="s">
        <v>41</v>
      </c>
      <c r="C87" s="52" t="s">
        <v>228</v>
      </c>
      <c r="D87" s="12" t="s">
        <v>138</v>
      </c>
      <c r="E87" s="12" t="s">
        <v>186</v>
      </c>
      <c r="F87" s="21">
        <v>369293</v>
      </c>
      <c r="N87" s="12" t="s">
        <v>122</v>
      </c>
    </row>
    <row r="88" spans="1:17" x14ac:dyDescent="0.3">
      <c r="A88" s="9" t="s">
        <v>211</v>
      </c>
      <c r="B88" s="9" t="s">
        <v>199</v>
      </c>
      <c r="C88" s="9" t="s">
        <v>200</v>
      </c>
      <c r="D88" s="9" t="s">
        <v>110</v>
      </c>
      <c r="E88" s="9" t="s">
        <v>81</v>
      </c>
      <c r="F88" s="10">
        <v>329000</v>
      </c>
      <c r="G88" s="23"/>
      <c r="H88" s="23"/>
      <c r="I88" s="24"/>
      <c r="J88" s="24"/>
      <c r="K88" s="61"/>
      <c r="L88" s="27"/>
      <c r="M88" s="28"/>
      <c r="N88" s="12" t="s">
        <v>198</v>
      </c>
      <c r="Q88" s="71">
        <f>Q84+Q85+Q86</f>
        <v>2432378</v>
      </c>
    </row>
    <row r="89" spans="1:17" x14ac:dyDescent="0.3">
      <c r="A89" s="12" t="s">
        <v>149</v>
      </c>
      <c r="B89" s="12" t="s">
        <v>161</v>
      </c>
      <c r="C89" s="52" t="s">
        <v>214</v>
      </c>
      <c r="D89" s="12" t="s">
        <v>171</v>
      </c>
      <c r="E89" s="12" t="s">
        <v>174</v>
      </c>
      <c r="F89" s="18">
        <v>21008</v>
      </c>
      <c r="G89" s="23"/>
      <c r="H89" s="23"/>
      <c r="I89" s="24"/>
      <c r="J89" s="24"/>
      <c r="K89" s="61"/>
      <c r="L89" s="27"/>
      <c r="M89" s="28"/>
      <c r="N89" s="12" t="s">
        <v>180</v>
      </c>
    </row>
    <row r="90" spans="1:17" x14ac:dyDescent="0.3">
      <c r="A90" s="12" t="s">
        <v>150</v>
      </c>
      <c r="B90" s="12" t="s">
        <v>216</v>
      </c>
      <c r="C90" s="52" t="s">
        <v>215</v>
      </c>
      <c r="D90" s="12" t="s">
        <v>171</v>
      </c>
      <c r="E90" s="12" t="s">
        <v>174</v>
      </c>
      <c r="F90" s="18">
        <v>22184</v>
      </c>
      <c r="G90" s="23"/>
      <c r="H90" s="23"/>
      <c r="I90" s="24"/>
      <c r="J90" s="24"/>
      <c r="K90" s="61"/>
      <c r="L90" s="27"/>
      <c r="M90" s="28"/>
      <c r="N90" s="12" t="s">
        <v>180</v>
      </c>
    </row>
    <row r="91" spans="1:17" x14ac:dyDescent="0.3">
      <c r="A91" s="12" t="s">
        <v>155</v>
      </c>
      <c r="B91" s="12" t="s">
        <v>165</v>
      </c>
      <c r="C91" s="52" t="s">
        <v>229</v>
      </c>
      <c r="D91" s="12" t="s">
        <v>172</v>
      </c>
      <c r="F91" s="18">
        <v>92532</v>
      </c>
      <c r="G91" s="23"/>
      <c r="H91" s="23"/>
      <c r="I91" s="24"/>
      <c r="J91" s="24"/>
      <c r="K91" s="61"/>
      <c r="L91" s="27"/>
      <c r="M91" s="28"/>
      <c r="N91" s="12" t="s">
        <v>180</v>
      </c>
    </row>
    <row r="92" spans="1:17" x14ac:dyDescent="0.3">
      <c r="A92" s="12" t="s">
        <v>152</v>
      </c>
      <c r="B92" s="12" t="s">
        <v>163</v>
      </c>
      <c r="C92" s="52" t="s">
        <v>238</v>
      </c>
      <c r="D92" s="12" t="s">
        <v>171</v>
      </c>
      <c r="E92" s="12" t="s">
        <v>176</v>
      </c>
      <c r="F92" s="18">
        <v>134748</v>
      </c>
      <c r="G92" s="23"/>
      <c r="H92" s="23"/>
      <c r="I92" s="24"/>
      <c r="J92" s="24"/>
      <c r="K92" s="61"/>
      <c r="L92" s="27"/>
      <c r="M92" s="28"/>
      <c r="N92" s="12" t="s">
        <v>180</v>
      </c>
    </row>
    <row r="93" spans="1:17" x14ac:dyDescent="0.3">
      <c r="A93" s="12" t="s">
        <v>157</v>
      </c>
      <c r="B93" s="12" t="s">
        <v>167</v>
      </c>
      <c r="C93" s="9" t="s">
        <v>237</v>
      </c>
      <c r="D93" s="12" t="s">
        <v>171</v>
      </c>
      <c r="E93" s="12" t="s">
        <v>178</v>
      </c>
      <c r="F93" s="18">
        <v>66072</v>
      </c>
      <c r="G93" s="23"/>
      <c r="H93" s="23"/>
      <c r="I93" s="24"/>
      <c r="J93" s="24"/>
      <c r="K93" s="61"/>
      <c r="L93" s="27"/>
      <c r="M93" s="28"/>
      <c r="N93" s="12" t="s">
        <v>183</v>
      </c>
    </row>
    <row r="94" spans="1:17" x14ac:dyDescent="0.3">
      <c r="A94" s="12" t="s">
        <v>823</v>
      </c>
      <c r="B94" s="12" t="s">
        <v>824</v>
      </c>
      <c r="C94" s="54" t="s">
        <v>827</v>
      </c>
      <c r="D94" s="54" t="s">
        <v>76</v>
      </c>
      <c r="E94" s="54" t="s">
        <v>186</v>
      </c>
      <c r="F94" s="55">
        <v>75565</v>
      </c>
      <c r="G94" s="55">
        <v>14270</v>
      </c>
      <c r="H94" s="72">
        <v>3815</v>
      </c>
      <c r="I94" s="30"/>
      <c r="K94" s="30"/>
      <c r="N94" s="12" t="s">
        <v>826</v>
      </c>
    </row>
    <row r="95" spans="1:17" x14ac:dyDescent="0.3">
      <c r="A95" s="12" t="s">
        <v>823</v>
      </c>
      <c r="B95" s="12" t="s">
        <v>825</v>
      </c>
      <c r="C95" s="54" t="s">
        <v>827</v>
      </c>
      <c r="D95" s="54" t="s">
        <v>76</v>
      </c>
      <c r="E95" s="54" t="s">
        <v>186</v>
      </c>
      <c r="F95" s="55">
        <v>80045</v>
      </c>
      <c r="G95" s="55">
        <v>14130</v>
      </c>
      <c r="H95" s="72">
        <v>3965</v>
      </c>
      <c r="I95" s="30"/>
      <c r="K95" s="30"/>
      <c r="N95" s="12" t="s">
        <v>826</v>
      </c>
    </row>
    <row r="96" spans="1:17" x14ac:dyDescent="0.3">
      <c r="A96" s="12" t="s">
        <v>479</v>
      </c>
      <c r="B96" s="12" t="s">
        <v>508</v>
      </c>
      <c r="C96" s="12" t="s">
        <v>509</v>
      </c>
      <c r="D96" s="12" t="s">
        <v>94</v>
      </c>
      <c r="E96" s="12" t="s">
        <v>185</v>
      </c>
      <c r="F96" s="10">
        <v>68155</v>
      </c>
      <c r="G96" s="10">
        <v>17105</v>
      </c>
      <c r="H96" s="10">
        <v>4022</v>
      </c>
      <c r="N96" s="12" t="s">
        <v>510</v>
      </c>
    </row>
    <row r="97" spans="1:17" x14ac:dyDescent="0.3">
      <c r="A97" s="12" t="s">
        <v>68</v>
      </c>
      <c r="B97" s="12" t="s">
        <v>69</v>
      </c>
      <c r="C97" s="9" t="s">
        <v>90</v>
      </c>
      <c r="D97" s="9" t="s">
        <v>76</v>
      </c>
      <c r="E97" s="9" t="s">
        <v>81</v>
      </c>
      <c r="F97" s="10">
        <v>50283</v>
      </c>
      <c r="G97" s="10">
        <v>12453</v>
      </c>
      <c r="H97" s="22">
        <v>2088</v>
      </c>
      <c r="N97" s="12" t="s">
        <v>143</v>
      </c>
    </row>
    <row r="98" spans="1:17" x14ac:dyDescent="0.3">
      <c r="A98" s="12" t="s">
        <v>112</v>
      </c>
      <c r="B98" s="12" t="s">
        <v>74</v>
      </c>
      <c r="C98" s="9" t="s">
        <v>834</v>
      </c>
      <c r="D98" s="9" t="s">
        <v>94</v>
      </c>
      <c r="E98" s="9" t="s">
        <v>113</v>
      </c>
      <c r="F98" s="10">
        <v>68563</v>
      </c>
      <c r="G98" s="10">
        <v>12842</v>
      </c>
      <c r="H98" s="22">
        <v>3266</v>
      </c>
      <c r="J98" s="18"/>
      <c r="N98" s="12" t="s">
        <v>143</v>
      </c>
    </row>
    <row r="99" spans="1:17" x14ac:dyDescent="0.3">
      <c r="A99" s="12" t="s">
        <v>34</v>
      </c>
      <c r="B99" s="12" t="s">
        <v>35</v>
      </c>
      <c r="C99" s="52" t="s">
        <v>244</v>
      </c>
      <c r="D99" s="12" t="s">
        <v>94</v>
      </c>
      <c r="E99" s="12" t="s">
        <v>147</v>
      </c>
      <c r="F99" s="18">
        <v>78230</v>
      </c>
      <c r="J99" s="18"/>
      <c r="N99" s="12" t="s">
        <v>143</v>
      </c>
    </row>
    <row r="100" spans="1:17" x14ac:dyDescent="0.3">
      <c r="A100" s="12" t="s">
        <v>53</v>
      </c>
      <c r="B100" s="12" t="s">
        <v>54</v>
      </c>
      <c r="C100" s="52" t="s">
        <v>213</v>
      </c>
      <c r="D100" s="12" t="s">
        <v>140</v>
      </c>
      <c r="E100" s="12" t="s">
        <v>139</v>
      </c>
      <c r="F100" s="18">
        <v>108487</v>
      </c>
      <c r="N100" s="12" t="s">
        <v>143</v>
      </c>
    </row>
    <row r="101" spans="1:17" x14ac:dyDescent="0.3">
      <c r="A101" s="12" t="s">
        <v>23</v>
      </c>
      <c r="B101" s="12" t="s">
        <v>18</v>
      </c>
      <c r="C101" s="12" t="s">
        <v>240</v>
      </c>
      <c r="D101" s="12" t="s">
        <v>76</v>
      </c>
      <c r="E101" s="12" t="s">
        <v>145</v>
      </c>
      <c r="F101" s="18">
        <v>94484</v>
      </c>
      <c r="N101" s="12" t="s">
        <v>144</v>
      </c>
    </row>
    <row r="102" spans="1:17" x14ac:dyDescent="0.3">
      <c r="A102" s="12" t="s">
        <v>386</v>
      </c>
      <c r="B102" s="12" t="s">
        <v>424</v>
      </c>
      <c r="C102" s="12" t="s">
        <v>414</v>
      </c>
      <c r="D102" s="12" t="s">
        <v>415</v>
      </c>
      <c r="F102" s="10">
        <v>59192</v>
      </c>
      <c r="G102" s="10">
        <v>12893</v>
      </c>
      <c r="H102" s="10">
        <v>2704</v>
      </c>
      <c r="N102" s="12" t="s">
        <v>416</v>
      </c>
    </row>
    <row r="103" spans="1:17" x14ac:dyDescent="0.3">
      <c r="A103" s="12" t="s">
        <v>390</v>
      </c>
      <c r="B103" s="12" t="s">
        <v>425</v>
      </c>
      <c r="C103" s="12" t="s">
        <v>426</v>
      </c>
      <c r="D103" s="12" t="s">
        <v>137</v>
      </c>
      <c r="E103" s="12" t="s">
        <v>427</v>
      </c>
      <c r="F103" s="10">
        <v>70831</v>
      </c>
      <c r="G103" s="10">
        <v>12744</v>
      </c>
      <c r="H103" s="10">
        <v>3449</v>
      </c>
      <c r="N103" s="12" t="s">
        <v>428</v>
      </c>
      <c r="P103" t="s">
        <v>122</v>
      </c>
      <c r="Q103" s="71">
        <f>F103+F104+F114+F115</f>
        <v>179457</v>
      </c>
    </row>
    <row r="104" spans="1:17" x14ac:dyDescent="0.3">
      <c r="A104" s="12" t="s">
        <v>483</v>
      </c>
      <c r="B104" s="12" t="s">
        <v>519</v>
      </c>
      <c r="C104" s="12" t="s">
        <v>520</v>
      </c>
      <c r="D104" s="12" t="s">
        <v>94</v>
      </c>
      <c r="E104" s="12" t="s">
        <v>521</v>
      </c>
      <c r="F104" s="10">
        <v>87266</v>
      </c>
      <c r="G104" s="10">
        <v>17780</v>
      </c>
      <c r="H104" s="10">
        <v>3060</v>
      </c>
      <c r="N104" s="12" t="s">
        <v>428</v>
      </c>
      <c r="P104" t="s">
        <v>125</v>
      </c>
      <c r="Q104" s="71">
        <f>F105+F106+F107+F108+F111+F112</f>
        <v>383592</v>
      </c>
    </row>
    <row r="105" spans="1:17" x14ac:dyDescent="0.3">
      <c r="A105" s="12" t="s">
        <v>389</v>
      </c>
      <c r="B105" s="12" t="s">
        <v>421</v>
      </c>
      <c r="C105" s="12" t="s">
        <v>422</v>
      </c>
      <c r="E105" s="12" t="s">
        <v>867</v>
      </c>
      <c r="F105" s="10">
        <v>37220</v>
      </c>
      <c r="G105" s="10">
        <v>7156</v>
      </c>
      <c r="H105" s="10">
        <v>2512</v>
      </c>
      <c r="N105" s="12" t="s">
        <v>423</v>
      </c>
      <c r="P105" t="s">
        <v>105</v>
      </c>
      <c r="Q105" s="71">
        <f>F109+F110+F118</f>
        <v>171120</v>
      </c>
    </row>
    <row r="106" spans="1:17" x14ac:dyDescent="0.3">
      <c r="A106" s="12" t="s">
        <v>440</v>
      </c>
      <c r="B106" s="12" t="s">
        <v>465</v>
      </c>
      <c r="C106" s="12" t="s">
        <v>462</v>
      </c>
      <c r="D106" s="12" t="s">
        <v>463</v>
      </c>
      <c r="E106" s="12" t="s">
        <v>502</v>
      </c>
      <c r="F106" s="77">
        <v>44115</v>
      </c>
      <c r="G106" s="10">
        <v>8388</v>
      </c>
      <c r="H106" s="10">
        <v>2400</v>
      </c>
      <c r="N106" s="12" t="s">
        <v>466</v>
      </c>
      <c r="P106" t="s">
        <v>416</v>
      </c>
      <c r="Q106" s="71">
        <f>F113+F117</f>
        <v>136869</v>
      </c>
    </row>
    <row r="107" spans="1:17" x14ac:dyDescent="0.3">
      <c r="A107" s="12" t="s">
        <v>478</v>
      </c>
      <c r="B107" s="12" t="s">
        <v>503</v>
      </c>
      <c r="C107" s="60" t="s">
        <v>504</v>
      </c>
      <c r="D107" s="60" t="s">
        <v>311</v>
      </c>
      <c r="E107" s="12" t="s">
        <v>79</v>
      </c>
      <c r="F107" s="10">
        <v>45376</v>
      </c>
      <c r="G107" s="10">
        <v>8539</v>
      </c>
      <c r="H107" s="10">
        <v>2281</v>
      </c>
      <c r="N107" s="12" t="s">
        <v>423</v>
      </c>
      <c r="P107" t="s">
        <v>466</v>
      </c>
      <c r="Q107" s="71">
        <f>F116</f>
        <v>11632</v>
      </c>
    </row>
    <row r="108" spans="1:17" x14ac:dyDescent="0.3">
      <c r="A108" s="12" t="s">
        <v>505</v>
      </c>
      <c r="B108" s="12" t="s">
        <v>506</v>
      </c>
      <c r="C108" s="60" t="s">
        <v>504</v>
      </c>
      <c r="D108" s="12" t="s">
        <v>507</v>
      </c>
      <c r="E108" s="12" t="s">
        <v>145</v>
      </c>
      <c r="F108" s="10">
        <v>51199</v>
      </c>
      <c r="G108" s="23">
        <v>11439</v>
      </c>
      <c r="H108" s="23">
        <v>2505</v>
      </c>
      <c r="N108" s="12" t="s">
        <v>423</v>
      </c>
    </row>
    <row r="109" spans="1:17" x14ac:dyDescent="0.3">
      <c r="A109" s="12" t="s">
        <v>379</v>
      </c>
      <c r="B109" s="12" t="s">
        <v>474</v>
      </c>
      <c r="C109" s="56" t="s">
        <v>476</v>
      </c>
      <c r="D109" s="56" t="s">
        <v>76</v>
      </c>
      <c r="E109" s="56" t="s">
        <v>869</v>
      </c>
      <c r="F109" s="18">
        <v>67786</v>
      </c>
      <c r="G109" s="59">
        <v>14260</v>
      </c>
      <c r="H109" s="56">
        <v>3215</v>
      </c>
      <c r="N109" s="12" t="s">
        <v>423</v>
      </c>
      <c r="Q109" s="71">
        <f>Q103+Q104+Q105+Q106+Q107</f>
        <v>882670</v>
      </c>
    </row>
    <row r="110" spans="1:17" x14ac:dyDescent="0.3">
      <c r="A110" s="12" t="s">
        <v>485</v>
      </c>
      <c r="B110" s="12" t="s">
        <v>524</v>
      </c>
      <c r="C110" s="12" t="s">
        <v>525</v>
      </c>
      <c r="D110" s="12" t="s">
        <v>76</v>
      </c>
      <c r="E110" s="12" t="s">
        <v>145</v>
      </c>
      <c r="F110" s="10">
        <v>85515</v>
      </c>
      <c r="G110" s="10">
        <v>14985</v>
      </c>
      <c r="H110" s="10">
        <v>4250</v>
      </c>
      <c r="N110" s="12" t="s">
        <v>466</v>
      </c>
    </row>
    <row r="111" spans="1:17" x14ac:dyDescent="0.3">
      <c r="A111" s="12" t="s">
        <v>792</v>
      </c>
      <c r="B111" s="12" t="s">
        <v>801</v>
      </c>
      <c r="C111" s="12" t="s">
        <v>802</v>
      </c>
      <c r="D111" s="12" t="s">
        <v>803</v>
      </c>
      <c r="E111" s="12" t="s">
        <v>797</v>
      </c>
      <c r="F111" s="10">
        <v>87149</v>
      </c>
      <c r="G111" s="10">
        <v>20100</v>
      </c>
      <c r="H111" s="10">
        <v>4140</v>
      </c>
      <c r="N111" s="12" t="s">
        <v>466</v>
      </c>
    </row>
    <row r="112" spans="1:17" x14ac:dyDescent="0.3">
      <c r="A112" s="12" t="s">
        <v>437</v>
      </c>
      <c r="B112" s="12" t="s">
        <v>454</v>
      </c>
      <c r="C112" s="12" t="s">
        <v>452</v>
      </c>
      <c r="D112" s="12" t="s">
        <v>76</v>
      </c>
      <c r="E112" s="12" t="s">
        <v>453</v>
      </c>
      <c r="F112" s="10">
        <v>118533</v>
      </c>
      <c r="G112" s="10">
        <v>27488</v>
      </c>
      <c r="H112" s="10">
        <v>3870</v>
      </c>
      <c r="N112" s="12" t="s">
        <v>423</v>
      </c>
    </row>
    <row r="113" spans="1:17" x14ac:dyDescent="0.3">
      <c r="A113" s="12" t="s">
        <v>487</v>
      </c>
      <c r="B113" s="12" t="s">
        <v>528</v>
      </c>
      <c r="C113" s="56" t="s">
        <v>529</v>
      </c>
      <c r="D113" s="12" t="s">
        <v>76</v>
      </c>
      <c r="E113" s="12" t="s">
        <v>87</v>
      </c>
      <c r="F113" s="10">
        <v>120999</v>
      </c>
      <c r="G113" s="10">
        <v>27922</v>
      </c>
      <c r="H113" s="10">
        <v>6105</v>
      </c>
      <c r="N113" s="12" t="s">
        <v>466</v>
      </c>
    </row>
    <row r="114" spans="1:17" x14ac:dyDescent="0.3">
      <c r="A114" s="12" t="s">
        <v>348</v>
      </c>
      <c r="B114" s="12" t="s">
        <v>349</v>
      </c>
      <c r="C114" s="12" t="s">
        <v>350</v>
      </c>
      <c r="D114" s="12" t="s">
        <v>351</v>
      </c>
      <c r="E114" s="12" t="s">
        <v>352</v>
      </c>
      <c r="F114" s="10">
        <v>9728</v>
      </c>
      <c r="G114" s="10">
        <v>780</v>
      </c>
      <c r="H114" s="10">
        <v>892</v>
      </c>
      <c r="N114" s="12" t="s">
        <v>131</v>
      </c>
    </row>
    <row r="115" spans="1:17" x14ac:dyDescent="0.3">
      <c r="A115" s="12" t="s">
        <v>302</v>
      </c>
      <c r="B115" s="12" t="s">
        <v>301</v>
      </c>
      <c r="C115" s="12" t="s">
        <v>306</v>
      </c>
      <c r="D115" s="12" t="s">
        <v>305</v>
      </c>
      <c r="E115" s="12" t="s">
        <v>201</v>
      </c>
      <c r="F115" s="10">
        <v>11632</v>
      </c>
      <c r="G115" s="10">
        <v>2880</v>
      </c>
      <c r="H115" s="10">
        <v>1437</v>
      </c>
      <c r="N115" s="12" t="s">
        <v>125</v>
      </c>
    </row>
    <row r="116" spans="1:17" x14ac:dyDescent="0.3">
      <c r="A116" s="12" t="s">
        <v>303</v>
      </c>
      <c r="B116" s="12" t="s">
        <v>301</v>
      </c>
      <c r="C116" s="12" t="s">
        <v>304</v>
      </c>
      <c r="D116" s="12" t="s">
        <v>305</v>
      </c>
      <c r="E116" s="12" t="s">
        <v>201</v>
      </c>
      <c r="F116" s="10">
        <v>11632</v>
      </c>
      <c r="G116" s="10">
        <v>2880</v>
      </c>
      <c r="H116" s="10">
        <v>1437</v>
      </c>
      <c r="J116" s="18"/>
      <c r="N116" s="12" t="s">
        <v>307</v>
      </c>
    </row>
    <row r="117" spans="1:17" x14ac:dyDescent="0.3">
      <c r="A117" s="12" t="s">
        <v>248</v>
      </c>
      <c r="B117" s="12" t="s">
        <v>260</v>
      </c>
      <c r="C117" s="52" t="s">
        <v>263</v>
      </c>
      <c r="D117" s="12" t="s">
        <v>94</v>
      </c>
      <c r="E117" s="12" t="s">
        <v>113</v>
      </c>
      <c r="F117" s="77">
        <v>15870</v>
      </c>
      <c r="G117" s="10">
        <v>2569</v>
      </c>
      <c r="H117" s="10">
        <v>1077</v>
      </c>
      <c r="N117" s="12" t="s">
        <v>131</v>
      </c>
    </row>
    <row r="118" spans="1:17" x14ac:dyDescent="0.3">
      <c r="A118" s="12" t="s">
        <v>435</v>
      </c>
      <c r="B118" s="12" t="s">
        <v>448</v>
      </c>
      <c r="C118" s="12" t="s">
        <v>449</v>
      </c>
      <c r="E118" s="12" t="s">
        <v>450</v>
      </c>
      <c r="F118" s="10">
        <v>17819</v>
      </c>
      <c r="G118" s="23">
        <v>2355</v>
      </c>
      <c r="H118" s="23">
        <v>1206</v>
      </c>
      <c r="N118" s="12" t="s">
        <v>307</v>
      </c>
    </row>
    <row r="119" spans="1:17" x14ac:dyDescent="0.3">
      <c r="A119" s="12" t="s">
        <v>828</v>
      </c>
      <c r="B119" s="12" t="s">
        <v>832</v>
      </c>
      <c r="C119" s="12" t="s">
        <v>838</v>
      </c>
      <c r="D119" s="54" t="s">
        <v>76</v>
      </c>
      <c r="E119" s="54" t="s">
        <v>360</v>
      </c>
      <c r="F119" s="18">
        <v>21684</v>
      </c>
      <c r="N119" s="12" t="s">
        <v>125</v>
      </c>
      <c r="P119" t="s">
        <v>122</v>
      </c>
      <c r="Q119" s="71">
        <f>F120+F129</f>
        <v>69673</v>
      </c>
    </row>
    <row r="120" spans="1:17" x14ac:dyDescent="0.3">
      <c r="A120" s="12" t="s">
        <v>828</v>
      </c>
      <c r="B120" s="12" t="s">
        <v>833</v>
      </c>
      <c r="C120" s="12" t="s">
        <v>838</v>
      </c>
      <c r="D120" s="54" t="s">
        <v>76</v>
      </c>
      <c r="E120" s="54" t="s">
        <v>360</v>
      </c>
      <c r="F120" s="55">
        <v>21938</v>
      </c>
      <c r="G120" s="55">
        <v>3404</v>
      </c>
      <c r="H120" s="72">
        <v>1825</v>
      </c>
      <c r="I120" s="30"/>
      <c r="K120" s="30"/>
      <c r="N120" s="12" t="s">
        <v>125</v>
      </c>
      <c r="P120" t="s">
        <v>125</v>
      </c>
      <c r="Q120" s="71">
        <f>F122+F127+F124+F131+F132</f>
        <v>207328</v>
      </c>
    </row>
    <row r="121" spans="1:17" x14ac:dyDescent="0.3">
      <c r="A121" s="12" t="s">
        <v>481</v>
      </c>
      <c r="B121" s="12" t="s">
        <v>512</v>
      </c>
      <c r="C121" s="12" t="s">
        <v>513</v>
      </c>
      <c r="D121" s="12" t="s">
        <v>76</v>
      </c>
      <c r="E121" s="12" t="s">
        <v>516</v>
      </c>
      <c r="F121" s="18">
        <v>29179</v>
      </c>
      <c r="G121" s="30">
        <v>6497</v>
      </c>
      <c r="H121" s="30">
        <v>1597</v>
      </c>
      <c r="N121" s="12" t="s">
        <v>307</v>
      </c>
      <c r="P121" t="s">
        <v>105</v>
      </c>
      <c r="Q121" s="71">
        <f>F121+F123+F125+F128+F133</f>
        <v>198731</v>
      </c>
    </row>
    <row r="122" spans="1:17" x14ac:dyDescent="0.3">
      <c r="A122" s="12" t="s">
        <v>382</v>
      </c>
      <c r="B122" s="12" t="s">
        <v>394</v>
      </c>
      <c r="C122" s="12" t="s">
        <v>402</v>
      </c>
      <c r="D122" s="12" t="s">
        <v>76</v>
      </c>
      <c r="E122" s="12" t="s">
        <v>403</v>
      </c>
      <c r="F122" s="10">
        <v>29601</v>
      </c>
      <c r="G122" s="10">
        <v>6170</v>
      </c>
      <c r="H122" s="10">
        <v>2040</v>
      </c>
      <c r="N122" s="12" t="s">
        <v>131</v>
      </c>
      <c r="P122" t="s">
        <v>466</v>
      </c>
      <c r="Q122" s="71">
        <f>F119+F126+F130</f>
        <v>111526</v>
      </c>
    </row>
    <row r="123" spans="1:17" x14ac:dyDescent="0.3">
      <c r="A123" s="12" t="s">
        <v>381</v>
      </c>
      <c r="B123" s="12" t="s">
        <v>397</v>
      </c>
      <c r="C123" s="12" t="s">
        <v>400</v>
      </c>
      <c r="D123" s="12" t="s">
        <v>76</v>
      </c>
      <c r="E123" s="12" t="s">
        <v>401</v>
      </c>
      <c r="F123" s="10">
        <v>33814</v>
      </c>
      <c r="G123" s="10">
        <v>9073</v>
      </c>
      <c r="H123" s="10">
        <v>1397</v>
      </c>
      <c r="N123" s="12" t="s">
        <v>131</v>
      </c>
    </row>
    <row r="124" spans="1:17" x14ac:dyDescent="0.3">
      <c r="A124" s="12" t="s">
        <v>481</v>
      </c>
      <c r="B124" s="12" t="s">
        <v>514</v>
      </c>
      <c r="C124" s="12" t="s">
        <v>513</v>
      </c>
      <c r="D124" s="12" t="s">
        <v>76</v>
      </c>
      <c r="E124" s="12" t="s">
        <v>516</v>
      </c>
      <c r="F124" s="18">
        <v>34819</v>
      </c>
      <c r="G124" s="30">
        <v>7706</v>
      </c>
      <c r="H124" s="30">
        <v>1400</v>
      </c>
      <c r="N124" s="12" t="s">
        <v>307</v>
      </c>
      <c r="Q124" s="71">
        <f>Q119+Q120+Q121+Q122</f>
        <v>587258</v>
      </c>
    </row>
    <row r="125" spans="1:17" x14ac:dyDescent="0.3">
      <c r="A125" s="12" t="s">
        <v>480</v>
      </c>
      <c r="B125" s="12" t="s">
        <v>511</v>
      </c>
      <c r="C125" s="54" t="s">
        <v>451</v>
      </c>
      <c r="D125" s="54" t="s">
        <v>76</v>
      </c>
      <c r="E125" s="54" t="s">
        <v>145</v>
      </c>
      <c r="F125" s="55">
        <v>39692</v>
      </c>
      <c r="G125" s="55">
        <v>5452</v>
      </c>
      <c r="H125" s="55">
        <v>2076</v>
      </c>
      <c r="N125" s="12" t="s">
        <v>307</v>
      </c>
    </row>
    <row r="126" spans="1:17" x14ac:dyDescent="0.3">
      <c r="A126" s="12" t="s">
        <v>25</v>
      </c>
      <c r="B126" s="12" t="s">
        <v>19</v>
      </c>
      <c r="C126" s="52" t="s">
        <v>242</v>
      </c>
      <c r="D126" s="9" t="s">
        <v>76</v>
      </c>
      <c r="E126" s="9" t="s">
        <v>136</v>
      </c>
      <c r="F126" s="10">
        <v>40252</v>
      </c>
      <c r="N126" s="12" t="s">
        <v>125</v>
      </c>
    </row>
    <row r="127" spans="1:17" x14ac:dyDescent="0.3">
      <c r="A127" s="12" t="s">
        <v>28</v>
      </c>
      <c r="B127" s="12" t="s">
        <v>29</v>
      </c>
      <c r="C127" s="9" t="s">
        <v>75</v>
      </c>
      <c r="D127" s="9" t="s">
        <v>76</v>
      </c>
      <c r="E127" s="9" t="s">
        <v>77</v>
      </c>
      <c r="F127" s="10">
        <v>42084</v>
      </c>
      <c r="G127" s="10">
        <v>6476</v>
      </c>
      <c r="H127" s="22">
        <v>2100</v>
      </c>
      <c r="I127" s="11"/>
      <c r="N127" s="12" t="s">
        <v>131</v>
      </c>
    </row>
    <row r="128" spans="1:17" x14ac:dyDescent="0.3">
      <c r="A128" s="12" t="s">
        <v>344</v>
      </c>
      <c r="B128" s="12" t="s">
        <v>345</v>
      </c>
      <c r="C128" s="12" t="s">
        <v>346</v>
      </c>
      <c r="E128" s="12" t="s">
        <v>347</v>
      </c>
      <c r="F128" s="18">
        <v>44112</v>
      </c>
      <c r="G128" s="30">
        <v>7777</v>
      </c>
      <c r="H128" s="30">
        <v>4836</v>
      </c>
      <c r="N128" s="12" t="s">
        <v>131</v>
      </c>
    </row>
    <row r="129" spans="1:17" x14ac:dyDescent="0.3">
      <c r="A129" s="12" t="s">
        <v>267</v>
      </c>
      <c r="B129" s="12" t="s">
        <v>268</v>
      </c>
      <c r="C129" s="12" t="s">
        <v>269</v>
      </c>
      <c r="D129" s="12" t="s">
        <v>76</v>
      </c>
      <c r="E129" s="12" t="s">
        <v>270</v>
      </c>
      <c r="F129" s="10">
        <v>47735</v>
      </c>
      <c r="G129" s="10">
        <v>10574</v>
      </c>
      <c r="H129" s="10">
        <v>2465</v>
      </c>
      <c r="N129" s="12" t="s">
        <v>131</v>
      </c>
    </row>
    <row r="130" spans="1:17" x14ac:dyDescent="0.3">
      <c r="A130" s="12" t="s">
        <v>298</v>
      </c>
      <c r="B130" s="12" t="s">
        <v>299</v>
      </c>
      <c r="C130" s="12" t="s">
        <v>300</v>
      </c>
      <c r="D130" s="12" t="s">
        <v>76</v>
      </c>
      <c r="E130" s="12" t="s">
        <v>121</v>
      </c>
      <c r="F130" s="10">
        <v>49590</v>
      </c>
      <c r="G130" s="10">
        <v>10068</v>
      </c>
      <c r="H130" s="10">
        <v>2481</v>
      </c>
      <c r="N130" s="12" t="s">
        <v>125</v>
      </c>
    </row>
    <row r="131" spans="1:17" x14ac:dyDescent="0.3">
      <c r="A131" s="12" t="s">
        <v>812</v>
      </c>
      <c r="B131" s="12" t="s">
        <v>813</v>
      </c>
      <c r="C131" s="12" t="s">
        <v>814</v>
      </c>
      <c r="D131" s="12" t="s">
        <v>76</v>
      </c>
      <c r="E131" s="12" t="s">
        <v>146</v>
      </c>
      <c r="F131" s="10">
        <v>50000</v>
      </c>
      <c r="G131" s="10">
        <v>10325</v>
      </c>
      <c r="H131" s="10">
        <v>2550</v>
      </c>
      <c r="I131" s="30"/>
      <c r="K131" s="30"/>
      <c r="N131" s="12" t="s">
        <v>125</v>
      </c>
    </row>
    <row r="132" spans="1:17" x14ac:dyDescent="0.3">
      <c r="A132" s="12" t="s">
        <v>339</v>
      </c>
      <c r="B132" s="12" t="s">
        <v>278</v>
      </c>
      <c r="C132" s="12" t="s">
        <v>872</v>
      </c>
      <c r="D132" s="12" t="s">
        <v>340</v>
      </c>
      <c r="E132" s="12" t="s">
        <v>340</v>
      </c>
      <c r="F132" s="10">
        <v>50824</v>
      </c>
      <c r="G132" s="23">
        <v>9400</v>
      </c>
      <c r="H132" s="23">
        <v>2638</v>
      </c>
      <c r="N132" s="12" t="s">
        <v>131</v>
      </c>
    </row>
    <row r="133" spans="1:17" x14ac:dyDescent="0.3">
      <c r="A133" s="12" t="s">
        <v>791</v>
      </c>
      <c r="B133" s="12" t="s">
        <v>793</v>
      </c>
      <c r="C133" s="12" t="s">
        <v>870</v>
      </c>
      <c r="D133" s="12" t="s">
        <v>76</v>
      </c>
      <c r="E133" s="12" t="s">
        <v>360</v>
      </c>
      <c r="F133" s="18">
        <v>51934</v>
      </c>
      <c r="N133" s="12" t="s">
        <v>131</v>
      </c>
    </row>
    <row r="134" spans="1:17" x14ac:dyDescent="0.3">
      <c r="A134" s="12" t="s">
        <v>45</v>
      </c>
      <c r="B134" s="12" t="s">
        <v>46</v>
      </c>
      <c r="C134" s="52" t="s">
        <v>209</v>
      </c>
      <c r="D134" s="12" t="s">
        <v>103</v>
      </c>
      <c r="E134" s="12" t="s">
        <v>189</v>
      </c>
      <c r="F134" s="21">
        <v>54359</v>
      </c>
      <c r="N134" s="12" t="s">
        <v>131</v>
      </c>
      <c r="P134" t="s">
        <v>122</v>
      </c>
      <c r="Q134" s="71">
        <f>F136+F145+F151+F143+F148</f>
        <v>406245</v>
      </c>
    </row>
    <row r="135" spans="1:17" x14ac:dyDescent="0.3">
      <c r="A135" s="12" t="s">
        <v>277</v>
      </c>
      <c r="B135" s="12" t="s">
        <v>278</v>
      </c>
      <c r="C135" s="12" t="s">
        <v>279</v>
      </c>
      <c r="D135" s="12" t="s">
        <v>280</v>
      </c>
      <c r="E135" s="12" t="s">
        <v>281</v>
      </c>
      <c r="F135" s="10">
        <v>56604</v>
      </c>
      <c r="G135" s="23">
        <v>7416</v>
      </c>
      <c r="H135" s="23">
        <v>2139</v>
      </c>
      <c r="N135" s="12" t="s">
        <v>125</v>
      </c>
      <c r="P135" t="s">
        <v>125</v>
      </c>
      <c r="Q135" s="71">
        <f>F137+F138+F139+F140+F141</f>
        <v>319404</v>
      </c>
    </row>
    <row r="136" spans="1:17" x14ac:dyDescent="0.3">
      <c r="A136" s="12" t="s">
        <v>481</v>
      </c>
      <c r="B136" s="12" t="s">
        <v>515</v>
      </c>
      <c r="C136" s="12" t="s">
        <v>513</v>
      </c>
      <c r="D136" s="12" t="s">
        <v>76</v>
      </c>
      <c r="E136" s="12" t="s">
        <v>516</v>
      </c>
      <c r="F136" s="18">
        <v>57880</v>
      </c>
      <c r="G136" s="30">
        <v>13453</v>
      </c>
      <c r="H136" s="30">
        <v>1792</v>
      </c>
      <c r="N136" s="12" t="s">
        <v>307</v>
      </c>
      <c r="P136" t="s">
        <v>105</v>
      </c>
      <c r="Q136" s="71">
        <f>F134+F147</f>
        <v>142387</v>
      </c>
    </row>
    <row r="137" spans="1:17" x14ac:dyDescent="0.3">
      <c r="A137" s="12" t="s">
        <v>382</v>
      </c>
      <c r="B137" s="12" t="s">
        <v>395</v>
      </c>
      <c r="C137" s="12" t="s">
        <v>404</v>
      </c>
      <c r="D137" s="12" t="s">
        <v>76</v>
      </c>
      <c r="E137" s="12" t="s">
        <v>79</v>
      </c>
      <c r="F137" s="10">
        <v>60680</v>
      </c>
      <c r="G137" s="10">
        <v>13014</v>
      </c>
      <c r="H137" s="10">
        <v>3000</v>
      </c>
      <c r="N137" s="12" t="s">
        <v>131</v>
      </c>
      <c r="P137" t="s">
        <v>466</v>
      </c>
      <c r="Q137" s="71">
        <f>F135+F144+F146+F149</f>
        <v>315374</v>
      </c>
    </row>
    <row r="138" spans="1:17" x14ac:dyDescent="0.3">
      <c r="A138" s="12" t="s">
        <v>65</v>
      </c>
      <c r="B138" s="12" t="s">
        <v>82</v>
      </c>
      <c r="C138" s="9" t="s">
        <v>84</v>
      </c>
      <c r="D138" s="9" t="s">
        <v>76</v>
      </c>
      <c r="E138" s="9" t="s">
        <v>81</v>
      </c>
      <c r="F138" s="10">
        <v>61482</v>
      </c>
      <c r="G138" s="10">
        <v>10942</v>
      </c>
      <c r="H138" s="22">
        <v>2868</v>
      </c>
      <c r="N138" s="12" t="s">
        <v>125</v>
      </c>
      <c r="P138" t="s">
        <v>806</v>
      </c>
      <c r="Q138" s="71">
        <f>F150</f>
        <v>97664</v>
      </c>
    </row>
    <row r="139" spans="1:17" x14ac:dyDescent="0.3">
      <c r="A139" s="12" t="s">
        <v>249</v>
      </c>
      <c r="B139" s="12" t="s">
        <v>259</v>
      </c>
      <c r="C139" s="52" t="s">
        <v>263</v>
      </c>
      <c r="D139" s="12" t="s">
        <v>94</v>
      </c>
      <c r="E139" s="12" t="s">
        <v>113</v>
      </c>
      <c r="F139" s="10">
        <v>63180</v>
      </c>
      <c r="G139" s="10">
        <v>13256</v>
      </c>
      <c r="H139" s="10">
        <v>2546</v>
      </c>
      <c r="N139" s="12" t="s">
        <v>131</v>
      </c>
      <c r="P139" t="s">
        <v>428</v>
      </c>
      <c r="Q139" s="71">
        <f>F142</f>
        <v>69365</v>
      </c>
    </row>
    <row r="140" spans="1:17" x14ac:dyDescent="0.3">
      <c r="A140" s="12" t="s">
        <v>358</v>
      </c>
      <c r="B140" s="12" t="s">
        <v>361</v>
      </c>
      <c r="C140" s="12" t="s">
        <v>359</v>
      </c>
      <c r="D140" s="12" t="s">
        <v>110</v>
      </c>
      <c r="E140" s="12" t="s">
        <v>360</v>
      </c>
      <c r="F140" s="10">
        <v>65427</v>
      </c>
      <c r="G140" s="10">
        <v>14391</v>
      </c>
      <c r="H140" s="18">
        <v>3595</v>
      </c>
      <c r="N140" s="12" t="s">
        <v>125</v>
      </c>
    </row>
    <row r="141" spans="1:17" x14ac:dyDescent="0.3">
      <c r="A141" s="12" t="s">
        <v>794</v>
      </c>
      <c r="B141" s="12" t="s">
        <v>795</v>
      </c>
      <c r="C141" s="12" t="s">
        <v>796</v>
      </c>
      <c r="D141" s="12" t="s">
        <v>94</v>
      </c>
      <c r="E141" s="12" t="s">
        <v>797</v>
      </c>
      <c r="F141" s="18">
        <v>68635</v>
      </c>
      <c r="G141" s="20">
        <v>15282</v>
      </c>
      <c r="H141" s="20">
        <v>2875</v>
      </c>
      <c r="N141" s="12" t="s">
        <v>125</v>
      </c>
      <c r="Q141" s="71">
        <f>Q134+Q135+Q136+Q137+Q138+Q139</f>
        <v>1350439</v>
      </c>
    </row>
    <row r="142" spans="1:17" x14ac:dyDescent="0.3">
      <c r="A142" s="12" t="s">
        <v>250</v>
      </c>
      <c r="B142" s="12" t="s">
        <v>258</v>
      </c>
      <c r="C142" s="52" t="s">
        <v>263</v>
      </c>
      <c r="D142" s="12" t="s">
        <v>94</v>
      </c>
      <c r="E142" s="12" t="s">
        <v>113</v>
      </c>
      <c r="F142" s="10">
        <v>69365</v>
      </c>
      <c r="G142" s="10">
        <v>14648</v>
      </c>
      <c r="H142" s="10">
        <v>2766</v>
      </c>
      <c r="N142" s="12" t="s">
        <v>125</v>
      </c>
    </row>
    <row r="143" spans="1:17" x14ac:dyDescent="0.3">
      <c r="A143" s="12" t="s">
        <v>48</v>
      </c>
      <c r="B143" s="12" t="s">
        <v>49</v>
      </c>
      <c r="C143" s="52" t="s">
        <v>205</v>
      </c>
      <c r="D143" s="12" t="s">
        <v>137</v>
      </c>
      <c r="E143" s="12" t="s">
        <v>188</v>
      </c>
      <c r="F143" s="21">
        <v>74240</v>
      </c>
      <c r="N143" s="12" t="s">
        <v>125</v>
      </c>
    </row>
    <row r="144" spans="1:17" x14ac:dyDescent="0.3">
      <c r="A144" s="12" t="s">
        <v>441</v>
      </c>
      <c r="B144" s="12" t="s">
        <v>467</v>
      </c>
      <c r="C144" s="12" t="s">
        <v>468</v>
      </c>
      <c r="D144" s="12" t="s">
        <v>76</v>
      </c>
      <c r="E144" s="12" t="s">
        <v>469</v>
      </c>
      <c r="F144" s="10">
        <v>78974</v>
      </c>
      <c r="G144" s="10">
        <v>16560</v>
      </c>
      <c r="H144" s="10">
        <v>3648</v>
      </c>
      <c r="N144" s="12" t="s">
        <v>307</v>
      </c>
    </row>
    <row r="145" spans="1:17" x14ac:dyDescent="0.3">
      <c r="A145" s="12" t="s">
        <v>26</v>
      </c>
      <c r="B145" s="12" t="s">
        <v>27</v>
      </c>
      <c r="C145" s="9" t="s">
        <v>80</v>
      </c>
      <c r="D145" s="9" t="s">
        <v>76</v>
      </c>
      <c r="E145" s="9" t="s">
        <v>81</v>
      </c>
      <c r="F145" s="10">
        <v>80274</v>
      </c>
      <c r="G145" s="10">
        <v>20572</v>
      </c>
      <c r="H145" s="22">
        <v>3523</v>
      </c>
      <c r="N145" s="12" t="s">
        <v>125</v>
      </c>
    </row>
    <row r="146" spans="1:17" x14ac:dyDescent="0.3">
      <c r="A146" s="12" t="s">
        <v>438</v>
      </c>
      <c r="B146" s="12" t="s">
        <v>458</v>
      </c>
      <c r="C146" s="12" t="s">
        <v>456</v>
      </c>
      <c r="E146" s="12" t="s">
        <v>457</v>
      </c>
      <c r="F146" s="10">
        <v>85518</v>
      </c>
      <c r="G146" s="10">
        <v>18260</v>
      </c>
      <c r="H146" s="10">
        <v>4048</v>
      </c>
      <c r="N146" s="12" t="s">
        <v>307</v>
      </c>
    </row>
    <row r="147" spans="1:17" x14ac:dyDescent="0.3">
      <c r="A147" s="12" t="s">
        <v>442</v>
      </c>
      <c r="B147" s="12" t="s">
        <v>470</v>
      </c>
      <c r="C147" s="56" t="s">
        <v>471</v>
      </c>
      <c r="D147" s="12" t="s">
        <v>311</v>
      </c>
      <c r="E147" s="12" t="s">
        <v>79</v>
      </c>
      <c r="F147" s="10">
        <v>88028</v>
      </c>
      <c r="G147" s="10">
        <v>16012</v>
      </c>
      <c r="H147" s="10">
        <v>3431</v>
      </c>
      <c r="N147" s="12" t="s">
        <v>307</v>
      </c>
    </row>
    <row r="148" spans="1:17" x14ac:dyDescent="0.3">
      <c r="A148" s="12" t="s">
        <v>385</v>
      </c>
      <c r="B148" s="12" t="s">
        <v>411</v>
      </c>
      <c r="C148" s="12" t="s">
        <v>412</v>
      </c>
      <c r="D148" s="12" t="s">
        <v>311</v>
      </c>
      <c r="E148" s="12" t="s">
        <v>413</v>
      </c>
      <c r="F148" s="10">
        <v>93893</v>
      </c>
      <c r="G148" s="10">
        <v>21953</v>
      </c>
      <c r="H148" s="10">
        <v>4492</v>
      </c>
      <c r="N148" s="12" t="s">
        <v>307</v>
      </c>
    </row>
    <row r="149" spans="1:17" x14ac:dyDescent="0.3">
      <c r="A149" s="12" t="s">
        <v>492</v>
      </c>
      <c r="B149" s="12" t="s">
        <v>497</v>
      </c>
      <c r="C149" s="12" t="s">
        <v>544</v>
      </c>
      <c r="D149" s="12" t="s">
        <v>76</v>
      </c>
      <c r="E149" s="12" t="s">
        <v>469</v>
      </c>
      <c r="F149" s="10">
        <v>94278</v>
      </c>
      <c r="G149" s="10">
        <v>19125</v>
      </c>
      <c r="H149" s="10">
        <v>4180</v>
      </c>
      <c r="N149" s="12" t="s">
        <v>125</v>
      </c>
    </row>
    <row r="150" spans="1:17" x14ac:dyDescent="0.3">
      <c r="A150" s="12" t="s">
        <v>128</v>
      </c>
      <c r="B150" s="12" t="s">
        <v>127</v>
      </c>
      <c r="C150" s="52" t="s">
        <v>212</v>
      </c>
      <c r="D150" s="12" t="s">
        <v>137</v>
      </c>
      <c r="E150" s="12" t="s">
        <v>95</v>
      </c>
      <c r="F150" s="21">
        <v>97664</v>
      </c>
      <c r="J150" s="18"/>
      <c r="N150" s="12" t="s">
        <v>125</v>
      </c>
    </row>
    <row r="151" spans="1:17" x14ac:dyDescent="0.3">
      <c r="A151" s="12" t="s">
        <v>38</v>
      </c>
      <c r="B151" s="12" t="s">
        <v>42</v>
      </c>
      <c r="C151" s="52" t="s">
        <v>224</v>
      </c>
      <c r="D151" s="12" t="s">
        <v>137</v>
      </c>
      <c r="E151" s="12" t="s">
        <v>185</v>
      </c>
      <c r="F151" s="21">
        <v>99958</v>
      </c>
      <c r="N151" s="12" t="s">
        <v>125</v>
      </c>
    </row>
    <row r="152" spans="1:17" x14ac:dyDescent="0.3">
      <c r="A152" s="12" t="s">
        <v>65</v>
      </c>
      <c r="B152" s="12" t="s">
        <v>83</v>
      </c>
      <c r="C152" s="9" t="s">
        <v>85</v>
      </c>
      <c r="D152" s="9" t="s">
        <v>76</v>
      </c>
      <c r="E152" s="9" t="s">
        <v>81</v>
      </c>
      <c r="F152" s="10">
        <v>104386</v>
      </c>
      <c r="G152" s="10">
        <v>14384</v>
      </c>
      <c r="H152" s="22">
        <v>3407</v>
      </c>
      <c r="N152" s="12" t="s">
        <v>125</v>
      </c>
      <c r="P152" t="s">
        <v>122</v>
      </c>
      <c r="Q152" s="71">
        <f>F165+F167+F168</f>
        <v>448390</v>
      </c>
    </row>
    <row r="153" spans="1:17" x14ac:dyDescent="0.3">
      <c r="A153" s="12" t="s">
        <v>71</v>
      </c>
      <c r="B153" s="12" t="s">
        <v>70</v>
      </c>
      <c r="C153" s="9" t="s">
        <v>91</v>
      </c>
      <c r="D153" s="9" t="s">
        <v>76</v>
      </c>
      <c r="E153" s="9" t="s">
        <v>92</v>
      </c>
      <c r="F153" s="10">
        <v>116925</v>
      </c>
      <c r="G153" s="10">
        <v>27336</v>
      </c>
      <c r="H153" s="22">
        <v>4485</v>
      </c>
      <c r="N153" s="12" t="s">
        <v>125</v>
      </c>
      <c r="P153" t="s">
        <v>125</v>
      </c>
      <c r="Q153" s="71">
        <f>F152+F157+F159+F164+F169</f>
        <v>702384</v>
      </c>
    </row>
    <row r="154" spans="1:17" x14ac:dyDescent="0.3">
      <c r="A154" s="12" t="s">
        <v>482</v>
      </c>
      <c r="B154" s="12" t="s">
        <v>517</v>
      </c>
      <c r="C154" s="12" t="s">
        <v>518</v>
      </c>
      <c r="D154" s="12" t="s">
        <v>76</v>
      </c>
      <c r="E154" s="12" t="s">
        <v>373</v>
      </c>
      <c r="F154" s="10">
        <v>118133</v>
      </c>
      <c r="G154" s="10">
        <v>30103</v>
      </c>
      <c r="H154" s="10">
        <v>4576</v>
      </c>
      <c r="N154" s="12" t="s">
        <v>307</v>
      </c>
      <c r="P154" t="s">
        <v>105</v>
      </c>
      <c r="Q154" s="71">
        <f>F153+F154+F162+F170</f>
        <v>308941</v>
      </c>
    </row>
    <row r="155" spans="1:17" x14ac:dyDescent="0.3">
      <c r="A155" s="12" t="s">
        <v>55</v>
      </c>
      <c r="B155" s="12" t="s">
        <v>58</v>
      </c>
      <c r="C155" s="9" t="s">
        <v>86</v>
      </c>
      <c r="D155" s="9" t="s">
        <v>76</v>
      </c>
      <c r="E155" s="9" t="s">
        <v>87</v>
      </c>
      <c r="F155" s="10">
        <v>119821</v>
      </c>
      <c r="G155" s="10">
        <v>30307</v>
      </c>
      <c r="H155" s="22">
        <v>3797</v>
      </c>
      <c r="N155" s="12" t="s">
        <v>125</v>
      </c>
      <c r="P155" t="s">
        <v>466</v>
      </c>
      <c r="Q155" s="71">
        <f>F158</f>
        <v>197942</v>
      </c>
    </row>
    <row r="156" spans="1:17" x14ac:dyDescent="0.3">
      <c r="A156" s="12" t="s">
        <v>384</v>
      </c>
      <c r="B156" s="12" t="s">
        <v>409</v>
      </c>
      <c r="C156" s="12" t="s">
        <v>410</v>
      </c>
      <c r="D156" s="12" t="s">
        <v>94</v>
      </c>
      <c r="E156" s="12" t="s">
        <v>113</v>
      </c>
      <c r="F156" s="10">
        <v>141700</v>
      </c>
      <c r="G156" s="10">
        <v>25580</v>
      </c>
      <c r="H156" s="10">
        <v>4754</v>
      </c>
      <c r="N156" s="12" t="s">
        <v>307</v>
      </c>
      <c r="P156" t="s">
        <v>806</v>
      </c>
      <c r="Q156" s="71">
        <f>F160+F161+F163</f>
        <v>382944</v>
      </c>
    </row>
    <row r="157" spans="1:17" x14ac:dyDescent="0.3">
      <c r="A157" s="12" t="s">
        <v>381</v>
      </c>
      <c r="B157" s="12" t="s">
        <v>396</v>
      </c>
      <c r="C157" s="12" t="s">
        <v>399</v>
      </c>
      <c r="D157" s="12" t="s">
        <v>76</v>
      </c>
      <c r="E157" s="12" t="s">
        <v>87</v>
      </c>
      <c r="F157" s="10">
        <v>144722</v>
      </c>
      <c r="G157" s="10">
        <v>39174</v>
      </c>
      <c r="H157" s="10">
        <v>5664</v>
      </c>
      <c r="N157" s="12" t="s">
        <v>125</v>
      </c>
      <c r="P157" t="s">
        <v>822</v>
      </c>
      <c r="Q157" s="71">
        <f>F155+F156+F166</f>
        <v>324603</v>
      </c>
    </row>
    <row r="158" spans="1:17" x14ac:dyDescent="0.3">
      <c r="A158" s="12" t="s">
        <v>433</v>
      </c>
      <c r="B158" s="12" t="s">
        <v>444</v>
      </c>
      <c r="C158" s="12" t="s">
        <v>445</v>
      </c>
      <c r="D158" s="12" t="s">
        <v>76</v>
      </c>
      <c r="E158" s="12" t="s">
        <v>145</v>
      </c>
      <c r="F158" s="10">
        <v>197942</v>
      </c>
      <c r="G158" s="10">
        <v>41896</v>
      </c>
      <c r="H158" s="10">
        <v>8186</v>
      </c>
      <c r="N158" s="12" t="s">
        <v>307</v>
      </c>
    </row>
    <row r="159" spans="1:17" x14ac:dyDescent="0.3">
      <c r="A159" s="12" t="s">
        <v>126</v>
      </c>
      <c r="B159" s="12" t="s">
        <v>129</v>
      </c>
      <c r="C159" s="52" t="s">
        <v>212</v>
      </c>
      <c r="D159" s="12" t="s">
        <v>76</v>
      </c>
      <c r="E159" s="12" t="s">
        <v>95</v>
      </c>
      <c r="F159" s="18">
        <v>207716</v>
      </c>
      <c r="N159" s="12" t="s">
        <v>125</v>
      </c>
      <c r="Q159" s="71">
        <f>Q152+Q153+Q154+Q155+Q156+Q157</f>
        <v>2365204</v>
      </c>
    </row>
    <row r="160" spans="1:17" x14ac:dyDescent="0.3">
      <c r="A160" s="12" t="s">
        <v>329</v>
      </c>
      <c r="B160" s="12" t="s">
        <v>330</v>
      </c>
      <c r="C160" s="12" t="s">
        <v>331</v>
      </c>
      <c r="D160" s="12" t="s">
        <v>76</v>
      </c>
      <c r="E160" s="12" t="s">
        <v>145</v>
      </c>
      <c r="F160" s="18">
        <v>245320</v>
      </c>
      <c r="G160" s="30">
        <v>40538</v>
      </c>
      <c r="H160" s="30">
        <v>9872</v>
      </c>
      <c r="N160" s="12" t="s">
        <v>125</v>
      </c>
    </row>
    <row r="161" spans="1:14" x14ac:dyDescent="0.3">
      <c r="A161" s="12" t="s">
        <v>271</v>
      </c>
      <c r="B161" s="12" t="s">
        <v>272</v>
      </c>
      <c r="C161" s="52" t="s">
        <v>316</v>
      </c>
      <c r="D161" s="12" t="s">
        <v>219</v>
      </c>
      <c r="E161" s="12" t="s">
        <v>201</v>
      </c>
      <c r="N161" s="12" t="s">
        <v>131</v>
      </c>
    </row>
    <row r="162" spans="1:14" x14ac:dyDescent="0.3">
      <c r="A162" s="12" t="s">
        <v>159</v>
      </c>
      <c r="B162" s="12" t="s">
        <v>169</v>
      </c>
      <c r="C162" s="52" t="s">
        <v>241</v>
      </c>
      <c r="D162" s="12" t="s">
        <v>171</v>
      </c>
      <c r="E162" s="12" t="s">
        <v>178</v>
      </c>
      <c r="F162" s="18">
        <v>73883</v>
      </c>
      <c r="H162" s="23"/>
      <c r="I162" s="24"/>
      <c r="J162" s="10"/>
      <c r="K162" s="61"/>
      <c r="L162" s="27"/>
      <c r="M162" s="28"/>
      <c r="N162" s="12" t="s">
        <v>184</v>
      </c>
    </row>
    <row r="163" spans="1:14" x14ac:dyDescent="0.3">
      <c r="A163" s="12" t="s">
        <v>156</v>
      </c>
      <c r="B163" s="12" t="s">
        <v>166</v>
      </c>
      <c r="C163" s="52" t="s">
        <v>229</v>
      </c>
      <c r="D163" s="12" t="s">
        <v>172</v>
      </c>
      <c r="F163" s="18">
        <v>137624</v>
      </c>
      <c r="G163" s="23"/>
      <c r="H163" s="23"/>
      <c r="I163" s="24"/>
      <c r="J163" s="24"/>
      <c r="K163" s="61"/>
      <c r="L163" s="27"/>
      <c r="M163" s="28"/>
      <c r="N163" s="12" t="s">
        <v>182</v>
      </c>
    </row>
    <row r="164" spans="1:14" x14ac:dyDescent="0.3">
      <c r="A164" s="12" t="s">
        <v>32</v>
      </c>
      <c r="B164" s="12" t="s">
        <v>33</v>
      </c>
      <c r="C164" s="9" t="s">
        <v>93</v>
      </c>
      <c r="D164" s="9" t="s">
        <v>94</v>
      </c>
      <c r="E164" s="9" t="s">
        <v>95</v>
      </c>
      <c r="F164" s="10">
        <v>111300</v>
      </c>
      <c r="N164" s="12" t="s">
        <v>142</v>
      </c>
    </row>
    <row r="165" spans="1:14" x14ac:dyDescent="0.3">
      <c r="A165" s="12" t="s">
        <v>22</v>
      </c>
      <c r="B165" s="12" t="s">
        <v>15</v>
      </c>
      <c r="C165" s="12" t="s">
        <v>239</v>
      </c>
      <c r="D165" s="12" t="s">
        <v>110</v>
      </c>
      <c r="E165" s="12" t="s">
        <v>81</v>
      </c>
      <c r="F165" s="18">
        <v>259257</v>
      </c>
      <c r="N165" s="12" t="s">
        <v>142</v>
      </c>
    </row>
    <row r="166" spans="1:14" x14ac:dyDescent="0.3">
      <c r="A166" s="12" t="s">
        <v>43</v>
      </c>
      <c r="B166" s="12" t="s">
        <v>44</v>
      </c>
      <c r="C166" s="12" t="s">
        <v>243</v>
      </c>
      <c r="D166" s="12" t="s">
        <v>110</v>
      </c>
      <c r="E166" s="12" t="s">
        <v>187</v>
      </c>
      <c r="F166" s="21">
        <v>63082</v>
      </c>
      <c r="N166" s="12" t="s">
        <v>132</v>
      </c>
    </row>
    <row r="167" spans="1:14" x14ac:dyDescent="0.3">
      <c r="A167" s="12" t="s">
        <v>818</v>
      </c>
      <c r="B167" s="12" t="s">
        <v>819</v>
      </c>
      <c r="C167" s="54" t="s">
        <v>821</v>
      </c>
      <c r="D167" s="54" t="s">
        <v>820</v>
      </c>
      <c r="E167" s="54" t="s">
        <v>107</v>
      </c>
      <c r="F167" s="55">
        <v>55338</v>
      </c>
      <c r="G167" s="55">
        <v>8629</v>
      </c>
      <c r="H167" s="72">
        <v>2253</v>
      </c>
      <c r="I167" s="30"/>
      <c r="K167" s="30"/>
      <c r="N167" s="12" t="s">
        <v>822</v>
      </c>
    </row>
    <row r="168" spans="1:14" x14ac:dyDescent="0.3">
      <c r="A168" s="12" t="s">
        <v>493</v>
      </c>
      <c r="B168" s="12" t="s">
        <v>496</v>
      </c>
      <c r="C168" s="12" t="s">
        <v>533</v>
      </c>
      <c r="D168" s="12" t="s">
        <v>534</v>
      </c>
      <c r="E168" s="12" t="s">
        <v>535</v>
      </c>
      <c r="F168" s="18">
        <v>133795</v>
      </c>
      <c r="G168" s="18">
        <v>26110</v>
      </c>
      <c r="H168" s="18">
        <v>5120</v>
      </c>
      <c r="N168" s="12" t="s">
        <v>536</v>
      </c>
    </row>
    <row r="169" spans="1:14" x14ac:dyDescent="0.3">
      <c r="A169" s="12" t="s">
        <v>493</v>
      </c>
      <c r="B169" s="12" t="s">
        <v>495</v>
      </c>
      <c r="C169" s="12" t="s">
        <v>533</v>
      </c>
      <c r="D169" s="12" t="s">
        <v>534</v>
      </c>
      <c r="E169" s="12" t="s">
        <v>535</v>
      </c>
      <c r="F169" s="18">
        <v>134260</v>
      </c>
      <c r="N169" s="12" t="s">
        <v>536</v>
      </c>
    </row>
    <row r="170" spans="1:14" x14ac:dyDescent="0.3">
      <c r="A170" s="12" t="s">
        <v>860</v>
      </c>
      <c r="B170" s="12" t="s">
        <v>861</v>
      </c>
      <c r="C170" s="12" t="s">
        <v>864</v>
      </c>
      <c r="E170" s="12" t="s">
        <v>862</v>
      </c>
      <c r="F170" s="10"/>
      <c r="G170" s="79"/>
      <c r="H170" s="79"/>
      <c r="I170" s="79"/>
      <c r="J170" s="10"/>
      <c r="K170" s="79"/>
      <c r="N170" s="12" t="s">
        <v>863</v>
      </c>
    </row>
    <row r="171" spans="1:14" x14ac:dyDescent="0.3">
      <c r="A171" s="12" t="s">
        <v>809</v>
      </c>
      <c r="B171" s="12" t="s">
        <v>810</v>
      </c>
      <c r="C171" s="12" t="s">
        <v>811</v>
      </c>
      <c r="D171" s="54" t="s">
        <v>76</v>
      </c>
      <c r="E171" s="54" t="s">
        <v>270</v>
      </c>
      <c r="F171" s="55">
        <v>39792</v>
      </c>
      <c r="G171" s="55">
        <v>5640</v>
      </c>
      <c r="H171" s="72">
        <v>1488</v>
      </c>
      <c r="I171" s="30"/>
      <c r="K171" s="30"/>
      <c r="N171" s="12" t="s">
        <v>806</v>
      </c>
    </row>
    <row r="172" spans="1:14" x14ac:dyDescent="0.3">
      <c r="A172" s="12" t="s">
        <v>854</v>
      </c>
      <c r="B172" s="12" t="s">
        <v>853</v>
      </c>
      <c r="C172" s="54" t="s">
        <v>855</v>
      </c>
      <c r="D172" s="54" t="s">
        <v>311</v>
      </c>
      <c r="E172" s="54" t="s">
        <v>146</v>
      </c>
      <c r="F172" s="55">
        <v>56293</v>
      </c>
      <c r="G172" s="55">
        <v>10677</v>
      </c>
      <c r="H172" s="55">
        <v>2640</v>
      </c>
      <c r="N172" s="12" t="s">
        <v>806</v>
      </c>
    </row>
    <row r="173" spans="1:14" x14ac:dyDescent="0.3">
      <c r="A173" s="12" t="s">
        <v>798</v>
      </c>
      <c r="B173" s="12" t="s">
        <v>799</v>
      </c>
      <c r="C173" s="54" t="s">
        <v>804</v>
      </c>
      <c r="D173" s="54" t="s">
        <v>137</v>
      </c>
      <c r="E173" s="54" t="s">
        <v>145</v>
      </c>
      <c r="F173" s="18">
        <v>78300</v>
      </c>
      <c r="N173" s="12" t="s">
        <v>806</v>
      </c>
    </row>
    <row r="174" spans="1:14" x14ac:dyDescent="0.3">
      <c r="A174" s="12" t="s">
        <v>856</v>
      </c>
      <c r="B174" s="12" t="s">
        <v>857</v>
      </c>
      <c r="C174" s="12" t="s">
        <v>858</v>
      </c>
      <c r="D174" s="12" t="s">
        <v>311</v>
      </c>
      <c r="E174" s="12" t="s">
        <v>859</v>
      </c>
      <c r="F174" s="10">
        <v>85852</v>
      </c>
      <c r="G174" s="10">
        <v>14054</v>
      </c>
      <c r="H174" s="10">
        <v>3760</v>
      </c>
      <c r="N174" s="12" t="s">
        <v>806</v>
      </c>
    </row>
    <row r="175" spans="1:14" x14ac:dyDescent="0.3">
      <c r="A175" s="12" t="s">
        <v>839</v>
      </c>
      <c r="B175" s="12" t="s">
        <v>840</v>
      </c>
      <c r="C175" s="12" t="s">
        <v>841</v>
      </c>
      <c r="D175" s="12" t="s">
        <v>473</v>
      </c>
      <c r="E175" s="12" t="s">
        <v>79</v>
      </c>
      <c r="F175" s="10">
        <v>121011</v>
      </c>
      <c r="G175" s="10">
        <v>19539</v>
      </c>
      <c r="H175" s="10">
        <v>5537</v>
      </c>
      <c r="N175" s="12" t="s">
        <v>806</v>
      </c>
    </row>
    <row r="176" spans="1:14" x14ac:dyDescent="0.3">
      <c r="A176" s="12" t="s">
        <v>798</v>
      </c>
      <c r="B176" s="12" t="s">
        <v>800</v>
      </c>
      <c r="C176" s="54" t="s">
        <v>804</v>
      </c>
      <c r="D176" s="54" t="s">
        <v>137</v>
      </c>
      <c r="E176" s="54" t="s">
        <v>145</v>
      </c>
      <c r="F176" s="55">
        <v>128885</v>
      </c>
      <c r="G176" s="55">
        <v>20575</v>
      </c>
      <c r="H176" s="72">
        <v>5600</v>
      </c>
      <c r="N176" s="12" t="s">
        <v>806</v>
      </c>
    </row>
    <row r="177" spans="1:14" x14ac:dyDescent="0.3">
      <c r="A177" s="12" t="s">
        <v>491</v>
      </c>
      <c r="B177" s="12" t="s">
        <v>494</v>
      </c>
      <c r="C177" s="12" t="s">
        <v>537</v>
      </c>
      <c r="D177" s="12" t="s">
        <v>76</v>
      </c>
      <c r="E177" s="12" t="s">
        <v>538</v>
      </c>
      <c r="F177" s="10">
        <v>90565</v>
      </c>
      <c r="G177" s="10">
        <v>19284</v>
      </c>
      <c r="H177" s="10">
        <v>4260</v>
      </c>
      <c r="N177" s="12" t="s">
        <v>541</v>
      </c>
    </row>
    <row r="178" spans="1:14" x14ac:dyDescent="0.3">
      <c r="A178" s="12" t="s">
        <v>72</v>
      </c>
      <c r="B178" s="12" t="s">
        <v>73</v>
      </c>
      <c r="C178" s="12" t="s">
        <v>871</v>
      </c>
      <c r="D178" s="12" t="s">
        <v>219</v>
      </c>
      <c r="E178" s="12" t="s">
        <v>201</v>
      </c>
      <c r="H178" s="19"/>
    </row>
    <row r="179" spans="1:14" x14ac:dyDescent="0.3">
      <c r="F179" s="10"/>
      <c r="G179" s="10"/>
      <c r="H179" s="10"/>
    </row>
    <row r="180" spans="1:14" x14ac:dyDescent="0.3">
      <c r="D180" s="54"/>
      <c r="E180" s="54"/>
      <c r="F180" s="17"/>
    </row>
    <row r="181" spans="1:14" x14ac:dyDescent="0.3">
      <c r="D181" s="54"/>
      <c r="E181" s="54"/>
      <c r="F181" s="17"/>
    </row>
    <row r="182" spans="1:14" x14ac:dyDescent="0.3">
      <c r="D182" s="54"/>
      <c r="E182" s="54"/>
      <c r="F182" s="17"/>
    </row>
    <row r="183" spans="1:14" x14ac:dyDescent="0.3">
      <c r="F183" s="17"/>
    </row>
    <row r="184" spans="1:14" x14ac:dyDescent="0.3">
      <c r="F184" s="17"/>
      <c r="K184" s="17"/>
    </row>
    <row r="185" spans="1:14" x14ac:dyDescent="0.3">
      <c r="F185" s="17"/>
    </row>
    <row r="187" spans="1:14" x14ac:dyDescent="0.3">
      <c r="F187" s="17"/>
      <c r="J187" s="18"/>
      <c r="N187" s="17"/>
    </row>
    <row r="188" spans="1:14" x14ac:dyDescent="0.3">
      <c r="F188" s="17"/>
      <c r="H188" s="17"/>
      <c r="I188" s="17"/>
      <c r="J188" s="18"/>
    </row>
    <row r="189" spans="1:14" x14ac:dyDescent="0.3">
      <c r="J189" s="18"/>
    </row>
    <row r="190" spans="1:14" x14ac:dyDescent="0.3">
      <c r="J190" s="18"/>
    </row>
    <row r="191" spans="1:14" x14ac:dyDescent="0.3">
      <c r="H191" s="17"/>
      <c r="I191" s="17"/>
    </row>
    <row r="201" spans="6:9" x14ac:dyDescent="0.3">
      <c r="G201" s="17"/>
    </row>
    <row r="202" spans="6:9" x14ac:dyDescent="0.3">
      <c r="F202" s="17"/>
      <c r="G202" s="17"/>
    </row>
    <row r="203" spans="6:9" x14ac:dyDescent="0.3">
      <c r="G203" s="17"/>
    </row>
    <row r="204" spans="6:9" x14ac:dyDescent="0.3">
      <c r="G204" s="17"/>
    </row>
    <row r="205" spans="6:9" x14ac:dyDescent="0.3">
      <c r="G205" s="17"/>
      <c r="I205" s="17"/>
    </row>
    <row r="208" spans="6:9" x14ac:dyDescent="0.3">
      <c r="G208" s="17"/>
    </row>
    <row r="209" spans="7:9" x14ac:dyDescent="0.3">
      <c r="G209" s="17"/>
    </row>
    <row r="210" spans="7:9" x14ac:dyDescent="0.3">
      <c r="G210" s="17"/>
    </row>
    <row r="211" spans="7:9" x14ac:dyDescent="0.3">
      <c r="G211" s="17"/>
    </row>
    <row r="212" spans="7:9" x14ac:dyDescent="0.3">
      <c r="G212" s="17"/>
    </row>
    <row r="213" spans="7:9" x14ac:dyDescent="0.3">
      <c r="G213" s="17"/>
      <c r="I213" s="17"/>
    </row>
    <row r="214" spans="7:9" x14ac:dyDescent="0.3">
      <c r="G214" s="17"/>
    </row>
    <row r="215" spans="7:9" x14ac:dyDescent="0.3">
      <c r="G215" s="17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EEE16-F99D-4F7E-A249-0DA67A7E65D7}">
  <sheetPr codeName="Sheet1"/>
  <dimension ref="A1:N215"/>
  <sheetViews>
    <sheetView zoomScale="85" zoomScaleNormal="85" workbookViewId="0">
      <pane ySplit="1" topLeftCell="A2" activePane="bottomLeft" state="frozen"/>
      <selection pane="bottomLeft" activeCell="D8" sqref="D8"/>
    </sheetView>
  </sheetViews>
  <sheetFormatPr defaultRowHeight="16.5" x14ac:dyDescent="0.3"/>
  <cols>
    <col min="1" max="1" width="13" style="12" bestFit="1" customWidth="1"/>
    <col min="2" max="2" width="31" style="12" bestFit="1" customWidth="1"/>
    <col min="3" max="3" width="54.5" style="12" bestFit="1" customWidth="1"/>
    <col min="4" max="4" width="15.25" style="12" bestFit="1" customWidth="1"/>
    <col min="5" max="5" width="24.625" style="12" bestFit="1" customWidth="1"/>
    <col min="6" max="6" width="9.375" style="12" bestFit="1" customWidth="1"/>
    <col min="7" max="7" width="13.75" style="12" bestFit="1" customWidth="1"/>
    <col min="8" max="8" width="14.125" style="12" bestFit="1" customWidth="1"/>
    <col min="9" max="9" width="13.5" style="12" bestFit="1" customWidth="1"/>
    <col min="10" max="10" width="14" style="30" bestFit="1" customWidth="1"/>
    <col min="11" max="11" width="18" style="12" bestFit="1" customWidth="1"/>
    <col min="12" max="12" width="12" style="12" bestFit="1" customWidth="1"/>
    <col min="13" max="13" width="13.75" style="12" bestFit="1" customWidth="1"/>
    <col min="14" max="14" width="35.25" style="12" customWidth="1"/>
  </cols>
  <sheetData>
    <row r="1" spans="1:14" ht="30" x14ac:dyDescent="0.3">
      <c r="A1" s="80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3" t="s">
        <v>9</v>
      </c>
      <c r="K1" s="81" t="s">
        <v>10</v>
      </c>
      <c r="L1" s="6" t="s">
        <v>11</v>
      </c>
      <c r="M1" s="7" t="s">
        <v>12</v>
      </c>
      <c r="N1" s="80" t="s">
        <v>13</v>
      </c>
    </row>
    <row r="2" spans="1:14" x14ac:dyDescent="0.3">
      <c r="A2" s="12" t="s">
        <v>390</v>
      </c>
      <c r="B2" s="12" t="s">
        <v>425</v>
      </c>
      <c r="C2" s="12" t="s">
        <v>426</v>
      </c>
      <c r="D2" s="12" t="s">
        <v>137</v>
      </c>
      <c r="E2" s="12" t="s">
        <v>427</v>
      </c>
      <c r="F2" s="10">
        <v>70831</v>
      </c>
      <c r="G2" s="10">
        <v>12744</v>
      </c>
      <c r="H2" s="10">
        <v>3449</v>
      </c>
      <c r="N2" s="12" t="s">
        <v>428</v>
      </c>
    </row>
    <row r="3" spans="1:14" x14ac:dyDescent="0.3">
      <c r="A3" s="12" t="s">
        <v>61</v>
      </c>
      <c r="B3" s="12" t="s">
        <v>62</v>
      </c>
      <c r="C3" s="9" t="s">
        <v>108</v>
      </c>
      <c r="D3" s="9" t="s">
        <v>107</v>
      </c>
      <c r="E3" s="9" t="s">
        <v>107</v>
      </c>
      <c r="F3" s="10">
        <v>42350</v>
      </c>
      <c r="G3" s="10">
        <v>8202</v>
      </c>
      <c r="H3" s="22">
        <v>2505</v>
      </c>
      <c r="N3" s="12" t="s">
        <v>122</v>
      </c>
    </row>
    <row r="4" spans="1:14" x14ac:dyDescent="0.3">
      <c r="A4" s="12" t="s">
        <v>492</v>
      </c>
      <c r="B4" s="12" t="s">
        <v>497</v>
      </c>
      <c r="C4" s="12" t="s">
        <v>544</v>
      </c>
      <c r="D4" s="12" t="s">
        <v>76</v>
      </c>
      <c r="E4" s="12" t="s">
        <v>469</v>
      </c>
      <c r="F4" s="10">
        <v>94278</v>
      </c>
      <c r="G4" s="10">
        <v>19125</v>
      </c>
      <c r="H4" s="10">
        <v>4180</v>
      </c>
      <c r="N4" s="12" t="s">
        <v>125</v>
      </c>
    </row>
    <row r="5" spans="1:14" x14ac:dyDescent="0.3">
      <c r="A5" s="12" t="s">
        <v>798</v>
      </c>
      <c r="B5" s="12" t="s">
        <v>799</v>
      </c>
      <c r="C5" s="54" t="s">
        <v>804</v>
      </c>
      <c r="D5" s="54" t="s">
        <v>137</v>
      </c>
      <c r="E5" s="54" t="s">
        <v>145</v>
      </c>
      <c r="F5" s="18">
        <v>78300</v>
      </c>
      <c r="N5" s="12" t="s">
        <v>806</v>
      </c>
    </row>
    <row r="6" spans="1:14" x14ac:dyDescent="0.3">
      <c r="A6" s="12" t="s">
        <v>798</v>
      </c>
      <c r="B6" s="12" t="s">
        <v>800</v>
      </c>
      <c r="C6" s="54" t="s">
        <v>804</v>
      </c>
      <c r="D6" s="54" t="s">
        <v>137</v>
      </c>
      <c r="E6" s="54" t="s">
        <v>145</v>
      </c>
      <c r="F6" s="55">
        <v>128885</v>
      </c>
      <c r="G6" s="55">
        <v>20575</v>
      </c>
      <c r="H6" s="72">
        <v>5600</v>
      </c>
      <c r="N6" s="12" t="s">
        <v>806</v>
      </c>
    </row>
    <row r="7" spans="1:14" x14ac:dyDescent="0.3">
      <c r="A7" s="12" t="s">
        <v>434</v>
      </c>
      <c r="B7" s="12" t="s">
        <v>447</v>
      </c>
      <c r="C7" s="12" t="s">
        <v>446</v>
      </c>
      <c r="D7" s="12" t="s">
        <v>103</v>
      </c>
      <c r="E7" s="12" t="s">
        <v>401</v>
      </c>
      <c r="F7" s="10">
        <v>98181</v>
      </c>
      <c r="G7" s="10">
        <v>23665</v>
      </c>
      <c r="H7" s="10">
        <v>3607</v>
      </c>
      <c r="N7" s="12" t="s">
        <v>328</v>
      </c>
    </row>
    <row r="8" spans="1:14" x14ac:dyDescent="0.3">
      <c r="A8" s="12" t="s">
        <v>26</v>
      </c>
      <c r="B8" s="12" t="s">
        <v>27</v>
      </c>
      <c r="C8" s="9" t="s">
        <v>80</v>
      </c>
      <c r="D8" s="9" t="s">
        <v>76</v>
      </c>
      <c r="E8" s="9" t="s">
        <v>81</v>
      </c>
      <c r="F8" s="10">
        <v>80274</v>
      </c>
      <c r="G8" s="10">
        <v>20572</v>
      </c>
      <c r="H8" s="22">
        <v>3523</v>
      </c>
      <c r="N8" s="12" t="s">
        <v>125</v>
      </c>
    </row>
    <row r="9" spans="1:14" x14ac:dyDescent="0.3">
      <c r="A9" s="12" t="s">
        <v>157</v>
      </c>
      <c r="B9" s="12" t="s">
        <v>167</v>
      </c>
      <c r="C9" s="9" t="s">
        <v>237</v>
      </c>
      <c r="D9" s="12" t="s">
        <v>171</v>
      </c>
      <c r="E9" s="12" t="s">
        <v>178</v>
      </c>
      <c r="F9" s="18">
        <v>66072</v>
      </c>
      <c r="G9" s="23"/>
      <c r="H9" s="23"/>
      <c r="I9" s="24"/>
      <c r="J9" s="24"/>
      <c r="K9" s="61"/>
      <c r="L9" s="27"/>
      <c r="M9" s="28"/>
      <c r="N9" s="12" t="s">
        <v>183</v>
      </c>
    </row>
    <row r="10" spans="1:14" x14ac:dyDescent="0.3">
      <c r="A10" s="12" t="s">
        <v>477</v>
      </c>
      <c r="B10" s="12" t="s">
        <v>500</v>
      </c>
      <c r="C10" s="12" t="s">
        <v>874</v>
      </c>
      <c r="D10" s="12" t="s">
        <v>76</v>
      </c>
      <c r="E10" s="12" t="s">
        <v>502</v>
      </c>
      <c r="F10" s="10">
        <v>162201</v>
      </c>
      <c r="G10" s="10">
        <v>36397</v>
      </c>
      <c r="H10" s="10">
        <v>6415</v>
      </c>
      <c r="N10" s="12" t="s">
        <v>328</v>
      </c>
    </row>
    <row r="11" spans="1:14" x14ac:dyDescent="0.3">
      <c r="A11" s="12" t="s">
        <v>40</v>
      </c>
      <c r="B11" s="12" t="s">
        <v>41</v>
      </c>
      <c r="C11" s="52" t="s">
        <v>228</v>
      </c>
      <c r="D11" s="12" t="s">
        <v>138</v>
      </c>
      <c r="E11" s="12" t="s">
        <v>186</v>
      </c>
      <c r="F11" s="21">
        <v>369293</v>
      </c>
      <c r="N11" s="12" t="s">
        <v>122</v>
      </c>
    </row>
    <row r="12" spans="1:14" x14ac:dyDescent="0.3">
      <c r="A12" s="12" t="s">
        <v>348</v>
      </c>
      <c r="B12" s="12" t="s">
        <v>349</v>
      </c>
      <c r="C12" s="12" t="s">
        <v>350</v>
      </c>
      <c r="D12" s="12" t="s">
        <v>351</v>
      </c>
      <c r="E12" s="12" t="s">
        <v>352</v>
      </c>
      <c r="F12" s="10">
        <v>9728</v>
      </c>
      <c r="G12" s="10">
        <v>780</v>
      </c>
      <c r="H12" s="10">
        <v>892</v>
      </c>
      <c r="N12" s="12" t="s">
        <v>131</v>
      </c>
    </row>
    <row r="13" spans="1:14" x14ac:dyDescent="0.3">
      <c r="A13" s="12" t="s">
        <v>248</v>
      </c>
      <c r="B13" s="12" t="s">
        <v>260</v>
      </c>
      <c r="C13" s="52" t="s">
        <v>263</v>
      </c>
      <c r="D13" s="12" t="s">
        <v>94</v>
      </c>
      <c r="E13" s="12" t="s">
        <v>113</v>
      </c>
      <c r="F13" s="77">
        <v>15870</v>
      </c>
      <c r="G13" s="10">
        <v>2569</v>
      </c>
      <c r="H13" s="10">
        <v>1077</v>
      </c>
      <c r="N13" s="12" t="s">
        <v>131</v>
      </c>
    </row>
    <row r="14" spans="1:14" x14ac:dyDescent="0.3">
      <c r="A14" s="12" t="s">
        <v>249</v>
      </c>
      <c r="B14" s="12" t="s">
        <v>259</v>
      </c>
      <c r="C14" s="52" t="s">
        <v>263</v>
      </c>
      <c r="D14" s="12" t="s">
        <v>94</v>
      </c>
      <c r="E14" s="12" t="s">
        <v>113</v>
      </c>
      <c r="F14" s="10">
        <v>63180</v>
      </c>
      <c r="G14" s="10">
        <v>13256</v>
      </c>
      <c r="H14" s="10">
        <v>2546</v>
      </c>
      <c r="N14" s="12" t="s">
        <v>131</v>
      </c>
    </row>
    <row r="15" spans="1:14" x14ac:dyDescent="0.3">
      <c r="A15" s="12" t="s">
        <v>250</v>
      </c>
      <c r="B15" s="12" t="s">
        <v>258</v>
      </c>
      <c r="C15" s="52" t="s">
        <v>263</v>
      </c>
      <c r="D15" s="12" t="s">
        <v>94</v>
      </c>
      <c r="E15" s="12" t="s">
        <v>113</v>
      </c>
      <c r="F15" s="10">
        <v>69365</v>
      </c>
      <c r="G15" s="10">
        <v>14648</v>
      </c>
      <c r="H15" s="10">
        <v>2766</v>
      </c>
      <c r="N15" s="12" t="s">
        <v>125</v>
      </c>
    </row>
    <row r="16" spans="1:14" x14ac:dyDescent="0.3">
      <c r="A16" s="12" t="s">
        <v>65</v>
      </c>
      <c r="B16" s="12" t="s">
        <v>83</v>
      </c>
      <c r="C16" s="9" t="s">
        <v>85</v>
      </c>
      <c r="D16" s="9" t="s">
        <v>76</v>
      </c>
      <c r="E16" s="9" t="s">
        <v>81</v>
      </c>
      <c r="F16" s="10">
        <v>104386</v>
      </c>
      <c r="G16" s="10">
        <v>14384</v>
      </c>
      <c r="H16" s="22">
        <v>3407</v>
      </c>
      <c r="N16" s="12" t="s">
        <v>125</v>
      </c>
    </row>
    <row r="17" spans="1:14" x14ac:dyDescent="0.3">
      <c r="A17" s="12" t="s">
        <v>65</v>
      </c>
      <c r="B17" s="12" t="s">
        <v>82</v>
      </c>
      <c r="C17" s="9" t="s">
        <v>84</v>
      </c>
      <c r="D17" s="9" t="s">
        <v>76</v>
      </c>
      <c r="E17" s="9" t="s">
        <v>81</v>
      </c>
      <c r="F17" s="10">
        <v>61482</v>
      </c>
      <c r="G17" s="10">
        <v>10942</v>
      </c>
      <c r="H17" s="22">
        <v>2868</v>
      </c>
      <c r="N17" s="12" t="s">
        <v>125</v>
      </c>
    </row>
    <row r="18" spans="1:14" x14ac:dyDescent="0.3">
      <c r="A18" s="12" t="s">
        <v>32</v>
      </c>
      <c r="B18" s="12" t="s">
        <v>33</v>
      </c>
      <c r="C18" s="9" t="s">
        <v>93</v>
      </c>
      <c r="D18" s="9" t="s">
        <v>94</v>
      </c>
      <c r="E18" s="9" t="s">
        <v>95</v>
      </c>
      <c r="F18" s="10">
        <v>111300</v>
      </c>
      <c r="N18" s="12" t="s">
        <v>142</v>
      </c>
    </row>
    <row r="19" spans="1:14" x14ac:dyDescent="0.3">
      <c r="A19" s="12" t="s">
        <v>377</v>
      </c>
      <c r="B19" s="12" t="s">
        <v>378</v>
      </c>
      <c r="C19" s="12" t="s">
        <v>866</v>
      </c>
      <c r="D19" s="12" t="s">
        <v>103</v>
      </c>
      <c r="E19" s="12" t="s">
        <v>865</v>
      </c>
      <c r="F19" s="18">
        <v>193726</v>
      </c>
      <c r="J19" s="18"/>
      <c r="N19" s="12" t="s">
        <v>122</v>
      </c>
    </row>
    <row r="20" spans="1:14" x14ac:dyDescent="0.3">
      <c r="A20" s="12" t="s">
        <v>491</v>
      </c>
      <c r="B20" s="12" t="s">
        <v>494</v>
      </c>
      <c r="C20" s="12" t="s">
        <v>537</v>
      </c>
      <c r="D20" s="12" t="s">
        <v>76</v>
      </c>
      <c r="E20" s="12" t="s">
        <v>538</v>
      </c>
      <c r="F20" s="10">
        <v>90565</v>
      </c>
      <c r="G20" s="10">
        <v>19284</v>
      </c>
      <c r="H20" s="10">
        <v>4260</v>
      </c>
      <c r="N20" s="12" t="s">
        <v>541</v>
      </c>
    </row>
    <row r="21" spans="1:14" x14ac:dyDescent="0.3">
      <c r="A21" s="12" t="s">
        <v>339</v>
      </c>
      <c r="B21" s="12" t="s">
        <v>278</v>
      </c>
      <c r="C21" s="12" t="s">
        <v>872</v>
      </c>
      <c r="D21" s="12" t="s">
        <v>340</v>
      </c>
      <c r="E21" s="12" t="s">
        <v>340</v>
      </c>
      <c r="F21" s="10">
        <v>50824</v>
      </c>
      <c r="G21" s="23">
        <v>9400</v>
      </c>
      <c r="H21" s="23">
        <v>2638</v>
      </c>
      <c r="N21" s="12" t="s">
        <v>131</v>
      </c>
    </row>
    <row r="22" spans="1:14" x14ac:dyDescent="0.3">
      <c r="A22" s="12" t="s">
        <v>317</v>
      </c>
      <c r="B22" s="12" t="s">
        <v>320</v>
      </c>
      <c r="C22" s="12" t="s">
        <v>323</v>
      </c>
      <c r="D22" s="12" t="s">
        <v>324</v>
      </c>
      <c r="E22" s="12" t="s">
        <v>325</v>
      </c>
      <c r="F22" s="10">
        <v>106504</v>
      </c>
      <c r="G22" s="10">
        <v>15814</v>
      </c>
      <c r="H22" s="10">
        <v>2132</v>
      </c>
      <c r="N22" s="12" t="s">
        <v>328</v>
      </c>
    </row>
    <row r="23" spans="1:14" x14ac:dyDescent="0.3">
      <c r="A23" s="12" t="s">
        <v>385</v>
      </c>
      <c r="B23" s="12" t="s">
        <v>411</v>
      </c>
      <c r="C23" s="12" t="s">
        <v>412</v>
      </c>
      <c r="D23" s="12" t="s">
        <v>311</v>
      </c>
      <c r="E23" s="12" t="s">
        <v>413</v>
      </c>
      <c r="F23" s="10">
        <v>93893</v>
      </c>
      <c r="G23" s="10">
        <v>21953</v>
      </c>
      <c r="H23" s="10">
        <v>4492</v>
      </c>
      <c r="N23" s="12" t="s">
        <v>307</v>
      </c>
    </row>
    <row r="24" spans="1:14" x14ac:dyDescent="0.3">
      <c r="A24" s="12" t="s">
        <v>21</v>
      </c>
      <c r="B24" s="12" t="s">
        <v>14</v>
      </c>
      <c r="C24" s="52" t="s">
        <v>208</v>
      </c>
      <c r="D24" s="12" t="s">
        <v>103</v>
      </c>
      <c r="E24" s="12" t="s">
        <v>141</v>
      </c>
      <c r="F24" s="18">
        <v>258916</v>
      </c>
      <c r="N24" s="12" t="s">
        <v>122</v>
      </c>
    </row>
    <row r="25" spans="1:14" x14ac:dyDescent="0.3">
      <c r="A25" s="12" t="s">
        <v>43</v>
      </c>
      <c r="B25" s="12" t="s">
        <v>44</v>
      </c>
      <c r="C25" s="12" t="s">
        <v>243</v>
      </c>
      <c r="D25" s="12" t="s">
        <v>110</v>
      </c>
      <c r="E25" s="12" t="s">
        <v>187</v>
      </c>
      <c r="F25" s="21">
        <v>63082</v>
      </c>
      <c r="N25" s="12" t="s">
        <v>132</v>
      </c>
    </row>
    <row r="26" spans="1:14" x14ac:dyDescent="0.3">
      <c r="A26" s="12" t="s">
        <v>99</v>
      </c>
      <c r="B26" s="12" t="s">
        <v>100</v>
      </c>
      <c r="C26" s="9" t="s">
        <v>102</v>
      </c>
      <c r="D26" s="9" t="s">
        <v>103</v>
      </c>
      <c r="E26" s="9" t="s">
        <v>104</v>
      </c>
      <c r="F26" s="10">
        <v>56494</v>
      </c>
      <c r="G26" s="30"/>
      <c r="H26" s="20"/>
      <c r="N26" s="12" t="s">
        <v>105</v>
      </c>
    </row>
    <row r="27" spans="1:14" x14ac:dyDescent="0.3">
      <c r="A27" s="12" t="s">
        <v>98</v>
      </c>
      <c r="B27" s="12" t="s">
        <v>101</v>
      </c>
      <c r="C27" s="9" t="s">
        <v>102</v>
      </c>
      <c r="D27" s="9" t="s">
        <v>103</v>
      </c>
      <c r="E27" s="9" t="s">
        <v>104</v>
      </c>
      <c r="F27" s="10">
        <v>84788</v>
      </c>
      <c r="G27" s="30"/>
      <c r="H27" s="20"/>
      <c r="N27" s="12" t="s">
        <v>122</v>
      </c>
    </row>
    <row r="28" spans="1:14" x14ac:dyDescent="0.3">
      <c r="A28" s="12" t="s">
        <v>282</v>
      </c>
      <c r="B28" s="12" t="s">
        <v>283</v>
      </c>
      <c r="C28" s="12" t="s">
        <v>284</v>
      </c>
      <c r="D28" s="12" t="s">
        <v>110</v>
      </c>
      <c r="E28" s="12" t="s">
        <v>111</v>
      </c>
      <c r="F28" s="10">
        <v>48910</v>
      </c>
      <c r="G28" s="10">
        <v>11389</v>
      </c>
      <c r="H28" s="10">
        <v>1834</v>
      </c>
      <c r="N28" s="12" t="s">
        <v>105</v>
      </c>
    </row>
    <row r="29" spans="1:14" x14ac:dyDescent="0.3">
      <c r="A29" s="12" t="s">
        <v>318</v>
      </c>
      <c r="B29" s="12" t="s">
        <v>321</v>
      </c>
      <c r="C29" s="12" t="s">
        <v>326</v>
      </c>
      <c r="D29" s="12" t="s">
        <v>324</v>
      </c>
      <c r="E29" s="12" t="s">
        <v>325</v>
      </c>
      <c r="F29" s="10">
        <v>64090</v>
      </c>
      <c r="G29" s="10">
        <v>11812</v>
      </c>
      <c r="H29" s="10">
        <v>0</v>
      </c>
      <c r="N29" s="12" t="s">
        <v>328</v>
      </c>
    </row>
    <row r="30" spans="1:14" x14ac:dyDescent="0.3">
      <c r="A30" s="12" t="s">
        <v>38</v>
      </c>
      <c r="B30" s="12" t="s">
        <v>42</v>
      </c>
      <c r="C30" s="52" t="s">
        <v>224</v>
      </c>
      <c r="D30" s="12" t="s">
        <v>137</v>
      </c>
      <c r="E30" s="12" t="s">
        <v>185</v>
      </c>
      <c r="F30" s="21">
        <v>99958</v>
      </c>
      <c r="N30" s="12" t="s">
        <v>125</v>
      </c>
    </row>
    <row r="31" spans="1:14" x14ac:dyDescent="0.3">
      <c r="A31" s="12" t="s">
        <v>791</v>
      </c>
      <c r="B31" s="12" t="s">
        <v>793</v>
      </c>
      <c r="C31" s="12" t="s">
        <v>870</v>
      </c>
      <c r="D31" s="12" t="s">
        <v>76</v>
      </c>
      <c r="E31" s="12" t="s">
        <v>360</v>
      </c>
      <c r="F31" s="18">
        <v>51934</v>
      </c>
      <c r="N31" s="12" t="s">
        <v>131</v>
      </c>
    </row>
    <row r="32" spans="1:14" x14ac:dyDescent="0.3">
      <c r="A32" s="12" t="s">
        <v>435</v>
      </c>
      <c r="B32" s="12" t="s">
        <v>448</v>
      </c>
      <c r="C32" s="12" t="s">
        <v>449</v>
      </c>
      <c r="E32" s="12" t="s">
        <v>450</v>
      </c>
      <c r="F32" s="10">
        <v>17819</v>
      </c>
      <c r="G32" s="23">
        <v>2355</v>
      </c>
      <c r="H32" s="23">
        <v>1206</v>
      </c>
      <c r="N32" s="12" t="s">
        <v>307</v>
      </c>
    </row>
    <row r="33" spans="1:14" x14ac:dyDescent="0.3">
      <c r="A33" s="12" t="s">
        <v>285</v>
      </c>
      <c r="B33" s="12" t="s">
        <v>286</v>
      </c>
      <c r="C33" s="12" t="s">
        <v>287</v>
      </c>
      <c r="D33" s="12" t="s">
        <v>76</v>
      </c>
      <c r="E33" s="12" t="s">
        <v>121</v>
      </c>
      <c r="F33" s="10">
        <v>162089</v>
      </c>
      <c r="G33" s="10">
        <v>31983</v>
      </c>
      <c r="H33" s="10">
        <v>4011</v>
      </c>
      <c r="N33" s="12" t="s">
        <v>122</v>
      </c>
    </row>
    <row r="34" spans="1:14" x14ac:dyDescent="0.3">
      <c r="A34" s="12" t="s">
        <v>856</v>
      </c>
      <c r="B34" s="12" t="s">
        <v>857</v>
      </c>
      <c r="C34" s="12" t="s">
        <v>858</v>
      </c>
      <c r="D34" s="12" t="s">
        <v>311</v>
      </c>
      <c r="E34" s="12" t="s">
        <v>859</v>
      </c>
      <c r="F34" s="10">
        <v>85852</v>
      </c>
      <c r="G34" s="10">
        <v>14054</v>
      </c>
      <c r="H34" s="10">
        <v>3760</v>
      </c>
      <c r="N34" s="12" t="s">
        <v>806</v>
      </c>
    </row>
    <row r="35" spans="1:14" x14ac:dyDescent="0.3">
      <c r="A35" s="12" t="s">
        <v>20</v>
      </c>
      <c r="B35" s="12" t="s">
        <v>16</v>
      </c>
      <c r="C35" s="52" t="s">
        <v>207</v>
      </c>
      <c r="D35" s="12" t="s">
        <v>110</v>
      </c>
      <c r="E35" s="12" t="s">
        <v>141</v>
      </c>
      <c r="F35" s="18">
        <v>126673</v>
      </c>
      <c r="N35" s="12" t="s">
        <v>122</v>
      </c>
    </row>
    <row r="36" spans="1:14" x14ac:dyDescent="0.3">
      <c r="A36" s="12" t="s">
        <v>505</v>
      </c>
      <c r="B36" s="12" t="s">
        <v>506</v>
      </c>
      <c r="C36" s="60" t="s">
        <v>504</v>
      </c>
      <c r="D36" s="12" t="s">
        <v>507</v>
      </c>
      <c r="E36" s="12" t="s">
        <v>145</v>
      </c>
      <c r="F36" s="10">
        <v>51199</v>
      </c>
      <c r="G36" s="23">
        <v>11439</v>
      </c>
      <c r="H36" s="23">
        <v>2505</v>
      </c>
      <c r="N36" s="12" t="s">
        <v>423</v>
      </c>
    </row>
    <row r="37" spans="1:14" x14ac:dyDescent="0.3">
      <c r="A37" s="12" t="s">
        <v>478</v>
      </c>
      <c r="B37" s="12" t="s">
        <v>503</v>
      </c>
      <c r="C37" s="60" t="s">
        <v>504</v>
      </c>
      <c r="D37" s="60" t="s">
        <v>311</v>
      </c>
      <c r="E37" s="12" t="s">
        <v>79</v>
      </c>
      <c r="F37" s="10">
        <v>45376</v>
      </c>
      <c r="G37" s="10">
        <v>8539</v>
      </c>
      <c r="H37" s="10">
        <v>2281</v>
      </c>
      <c r="N37" s="12" t="s">
        <v>423</v>
      </c>
    </row>
    <row r="38" spans="1:14" x14ac:dyDescent="0.3">
      <c r="A38" s="12" t="s">
        <v>288</v>
      </c>
      <c r="B38" s="12" t="s">
        <v>289</v>
      </c>
      <c r="C38" s="12" t="s">
        <v>290</v>
      </c>
      <c r="D38" s="12" t="s">
        <v>94</v>
      </c>
      <c r="E38" s="12" t="s">
        <v>291</v>
      </c>
      <c r="F38" s="10">
        <v>89404</v>
      </c>
      <c r="G38" s="10">
        <v>20416</v>
      </c>
      <c r="H38" s="10">
        <v>4046</v>
      </c>
      <c r="N38" s="12" t="s">
        <v>105</v>
      </c>
    </row>
    <row r="39" spans="1:14" x14ac:dyDescent="0.3">
      <c r="A39" s="12" t="s">
        <v>490</v>
      </c>
      <c r="B39" s="12" t="s">
        <v>542</v>
      </c>
      <c r="C39" s="12" t="s">
        <v>543</v>
      </c>
      <c r="D39" s="12" t="s">
        <v>103</v>
      </c>
      <c r="E39" s="12" t="s">
        <v>89</v>
      </c>
      <c r="F39" s="18">
        <v>95093</v>
      </c>
      <c r="N39" s="12" t="s">
        <v>190</v>
      </c>
    </row>
    <row r="40" spans="1:14" x14ac:dyDescent="0.3">
      <c r="A40" s="12" t="s">
        <v>483</v>
      </c>
      <c r="B40" s="12" t="s">
        <v>519</v>
      </c>
      <c r="C40" s="12" t="s">
        <v>520</v>
      </c>
      <c r="D40" s="12" t="s">
        <v>94</v>
      </c>
      <c r="E40" s="12" t="s">
        <v>521</v>
      </c>
      <c r="F40" s="10">
        <v>87266</v>
      </c>
      <c r="G40" s="10">
        <v>17780</v>
      </c>
      <c r="H40" s="10">
        <v>3060</v>
      </c>
      <c r="N40" s="12" t="s">
        <v>428</v>
      </c>
    </row>
    <row r="41" spans="1:14" x14ac:dyDescent="0.3">
      <c r="A41" s="12" t="s">
        <v>850</v>
      </c>
      <c r="B41" s="12" t="s">
        <v>851</v>
      </c>
      <c r="C41" s="56" t="s">
        <v>852</v>
      </c>
      <c r="D41" s="12" t="s">
        <v>311</v>
      </c>
      <c r="E41" s="12" t="s">
        <v>188</v>
      </c>
      <c r="F41" s="10">
        <v>129869</v>
      </c>
      <c r="G41" s="10">
        <v>25531</v>
      </c>
      <c r="H41" s="10">
        <v>5150</v>
      </c>
      <c r="N41" s="12" t="s">
        <v>105</v>
      </c>
    </row>
    <row r="42" spans="1:14" x14ac:dyDescent="0.3">
      <c r="A42" s="9"/>
      <c r="B42" s="9" t="s">
        <v>196</v>
      </c>
      <c r="C42" s="52" t="s">
        <v>245</v>
      </c>
      <c r="D42" s="9" t="s">
        <v>202</v>
      </c>
      <c r="E42" s="9" t="s">
        <v>201</v>
      </c>
      <c r="F42" s="10">
        <v>14500</v>
      </c>
      <c r="G42" s="23"/>
      <c r="H42" s="23"/>
      <c r="I42" s="24"/>
      <c r="J42" s="24"/>
      <c r="K42" s="61"/>
      <c r="L42" s="27"/>
      <c r="M42" s="28"/>
      <c r="N42" s="12" t="s">
        <v>130</v>
      </c>
    </row>
    <row r="43" spans="1:14" x14ac:dyDescent="0.3">
      <c r="A43" s="12" t="s">
        <v>484</v>
      </c>
      <c r="B43" s="12" t="s">
        <v>522</v>
      </c>
      <c r="C43" s="12" t="s">
        <v>523</v>
      </c>
      <c r="D43" s="12" t="s">
        <v>103</v>
      </c>
      <c r="E43" s="12" t="s">
        <v>145</v>
      </c>
      <c r="F43" s="18">
        <v>55084</v>
      </c>
      <c r="N43" s="12" t="s">
        <v>122</v>
      </c>
    </row>
    <row r="44" spans="1:14" x14ac:dyDescent="0.3">
      <c r="A44" s="12" t="s">
        <v>271</v>
      </c>
      <c r="B44" s="12" t="s">
        <v>272</v>
      </c>
      <c r="C44" s="52" t="s">
        <v>316</v>
      </c>
      <c r="D44" s="12" t="s">
        <v>219</v>
      </c>
      <c r="E44" s="12" t="s">
        <v>201</v>
      </c>
      <c r="N44" s="12" t="s">
        <v>131</v>
      </c>
    </row>
    <row r="45" spans="1:14" x14ac:dyDescent="0.3">
      <c r="A45" s="12" t="s">
        <v>47</v>
      </c>
      <c r="B45" s="12" t="s">
        <v>234</v>
      </c>
      <c r="C45" s="12" t="s">
        <v>233</v>
      </c>
      <c r="D45" s="12" t="s">
        <v>110</v>
      </c>
      <c r="E45" s="12" t="s">
        <v>81</v>
      </c>
      <c r="F45" s="21">
        <v>50030</v>
      </c>
      <c r="N45" s="12" t="s">
        <v>130</v>
      </c>
    </row>
    <row r="46" spans="1:14" x14ac:dyDescent="0.3">
      <c r="A46" s="12" t="s">
        <v>24</v>
      </c>
      <c r="B46" s="12" t="s">
        <v>17</v>
      </c>
      <c r="C46" s="12" t="s">
        <v>232</v>
      </c>
      <c r="D46" s="12" t="s">
        <v>76</v>
      </c>
      <c r="E46" s="12" t="s">
        <v>146</v>
      </c>
      <c r="F46" s="18">
        <v>151595</v>
      </c>
      <c r="N46" s="12" t="s">
        <v>122</v>
      </c>
    </row>
    <row r="47" spans="1:14" x14ac:dyDescent="0.3">
      <c r="A47" s="12" t="s">
        <v>251</v>
      </c>
      <c r="B47" s="12" t="s">
        <v>257</v>
      </c>
      <c r="C47" s="12" t="s">
        <v>262</v>
      </c>
      <c r="D47" s="12" t="s">
        <v>110</v>
      </c>
      <c r="E47" s="12" t="s">
        <v>81</v>
      </c>
      <c r="F47" s="10">
        <v>117490</v>
      </c>
      <c r="G47" s="10">
        <v>25433</v>
      </c>
      <c r="H47" s="10">
        <v>4659</v>
      </c>
      <c r="N47" s="12" t="s">
        <v>122</v>
      </c>
    </row>
    <row r="48" spans="1:14" x14ac:dyDescent="0.3">
      <c r="A48" s="12" t="s">
        <v>252</v>
      </c>
      <c r="B48" s="12" t="s">
        <v>256</v>
      </c>
      <c r="C48" s="12" t="s">
        <v>262</v>
      </c>
      <c r="D48" s="12" t="s">
        <v>110</v>
      </c>
      <c r="E48" s="12" t="s">
        <v>81</v>
      </c>
      <c r="F48" s="10">
        <v>116450</v>
      </c>
      <c r="G48" s="10">
        <v>24453</v>
      </c>
      <c r="H48" s="10">
        <v>4499</v>
      </c>
      <c r="N48" s="12" t="s">
        <v>122</v>
      </c>
    </row>
    <row r="49" spans="1:14" x14ac:dyDescent="0.3">
      <c r="A49" s="12" t="s">
        <v>253</v>
      </c>
      <c r="B49" s="12" t="s">
        <v>255</v>
      </c>
      <c r="C49" s="12" t="s">
        <v>262</v>
      </c>
      <c r="D49" s="12" t="s">
        <v>110</v>
      </c>
      <c r="E49" s="12" t="s">
        <v>81</v>
      </c>
      <c r="F49" s="10">
        <v>50320</v>
      </c>
      <c r="G49" s="10">
        <v>10180</v>
      </c>
      <c r="H49" s="10">
        <v>2188</v>
      </c>
      <c r="N49" s="12" t="s">
        <v>122</v>
      </c>
    </row>
    <row r="50" spans="1:14" x14ac:dyDescent="0.3">
      <c r="A50" s="12" t="s">
        <v>247</v>
      </c>
      <c r="B50" s="12" t="s">
        <v>254</v>
      </c>
      <c r="C50" s="12" t="s">
        <v>261</v>
      </c>
      <c r="D50" s="12" t="s">
        <v>110</v>
      </c>
      <c r="E50" s="12" t="s">
        <v>81</v>
      </c>
      <c r="F50" s="10">
        <v>176680</v>
      </c>
      <c r="G50" s="10">
        <v>36090</v>
      </c>
      <c r="H50" s="10">
        <v>6897</v>
      </c>
      <c r="N50" s="12" t="s">
        <v>122</v>
      </c>
    </row>
    <row r="51" spans="1:14" x14ac:dyDescent="0.3">
      <c r="A51" s="12" t="s">
        <v>158</v>
      </c>
      <c r="B51" s="12" t="s">
        <v>168</v>
      </c>
      <c r="C51" s="12" t="s">
        <v>231</v>
      </c>
      <c r="D51" s="12" t="s">
        <v>170</v>
      </c>
      <c r="E51" s="12" t="s">
        <v>173</v>
      </c>
      <c r="F51" s="18">
        <v>67421</v>
      </c>
      <c r="G51" s="23"/>
      <c r="H51" s="23"/>
      <c r="I51" s="24"/>
      <c r="J51" s="24"/>
      <c r="K51" s="61"/>
      <c r="L51" s="27"/>
      <c r="M51" s="28"/>
      <c r="N51" s="12" t="s">
        <v>179</v>
      </c>
    </row>
    <row r="52" spans="1:14" x14ac:dyDescent="0.3">
      <c r="A52" s="9" t="s">
        <v>211</v>
      </c>
      <c r="B52" s="9" t="s">
        <v>199</v>
      </c>
      <c r="C52" s="9" t="s">
        <v>200</v>
      </c>
      <c r="D52" s="9" t="s">
        <v>110</v>
      </c>
      <c r="E52" s="9" t="s">
        <v>81</v>
      </c>
      <c r="F52" s="10">
        <v>329000</v>
      </c>
      <c r="G52" s="23"/>
      <c r="H52" s="23"/>
      <c r="I52" s="24"/>
      <c r="J52" s="24"/>
      <c r="K52" s="61"/>
      <c r="L52" s="27"/>
      <c r="M52" s="28"/>
      <c r="N52" s="12" t="s">
        <v>198</v>
      </c>
    </row>
    <row r="53" spans="1:14" x14ac:dyDescent="0.3">
      <c r="A53" s="12" t="s">
        <v>358</v>
      </c>
      <c r="B53" s="12" t="s">
        <v>361</v>
      </c>
      <c r="C53" s="12" t="s">
        <v>359</v>
      </c>
      <c r="D53" s="12" t="s">
        <v>110</v>
      </c>
      <c r="E53" s="12" t="s">
        <v>360</v>
      </c>
      <c r="F53" s="10">
        <v>65427</v>
      </c>
      <c r="G53" s="10">
        <v>14391</v>
      </c>
      <c r="H53" s="18">
        <v>3595</v>
      </c>
      <c r="N53" s="12" t="s">
        <v>125</v>
      </c>
    </row>
    <row r="54" spans="1:14" x14ac:dyDescent="0.3">
      <c r="A54" s="12" t="s">
        <v>792</v>
      </c>
      <c r="B54" s="12" t="s">
        <v>801</v>
      </c>
      <c r="C54" s="12" t="s">
        <v>802</v>
      </c>
      <c r="D54" s="12" t="s">
        <v>803</v>
      </c>
      <c r="E54" s="12" t="s">
        <v>797</v>
      </c>
      <c r="F54" s="10">
        <v>87149</v>
      </c>
      <c r="G54" s="10">
        <v>20100</v>
      </c>
      <c r="H54" s="10">
        <v>4140</v>
      </c>
      <c r="N54" s="12" t="s">
        <v>466</v>
      </c>
    </row>
    <row r="55" spans="1:14" x14ac:dyDescent="0.3">
      <c r="A55" s="12" t="s">
        <v>55</v>
      </c>
      <c r="B55" s="12" t="s">
        <v>58</v>
      </c>
      <c r="C55" s="9" t="s">
        <v>86</v>
      </c>
      <c r="D55" s="9" t="s">
        <v>76</v>
      </c>
      <c r="E55" s="9" t="s">
        <v>87</v>
      </c>
      <c r="F55" s="10">
        <v>119821</v>
      </c>
      <c r="G55" s="10">
        <v>30307</v>
      </c>
      <c r="H55" s="22">
        <v>3797</v>
      </c>
      <c r="N55" s="12" t="s">
        <v>125</v>
      </c>
    </row>
    <row r="56" spans="1:14" x14ac:dyDescent="0.3">
      <c r="A56" s="12" t="s">
        <v>71</v>
      </c>
      <c r="B56" s="12" t="s">
        <v>70</v>
      </c>
      <c r="C56" s="9" t="s">
        <v>91</v>
      </c>
      <c r="D56" s="9" t="s">
        <v>76</v>
      </c>
      <c r="E56" s="9" t="s">
        <v>92</v>
      </c>
      <c r="F56" s="10">
        <v>116925</v>
      </c>
      <c r="G56" s="10">
        <v>27336</v>
      </c>
      <c r="H56" s="22">
        <v>4485</v>
      </c>
      <c r="N56" s="12" t="s">
        <v>125</v>
      </c>
    </row>
    <row r="57" spans="1:14" x14ac:dyDescent="0.3">
      <c r="A57" s="12" t="s">
        <v>39</v>
      </c>
      <c r="B57" s="12" t="s">
        <v>227</v>
      </c>
      <c r="C57" s="52" t="s">
        <v>226</v>
      </c>
      <c r="D57" s="12" t="s">
        <v>137</v>
      </c>
      <c r="E57" s="12" t="s">
        <v>79</v>
      </c>
      <c r="F57" s="21">
        <v>28067</v>
      </c>
      <c r="N57" s="12" t="s">
        <v>122</v>
      </c>
    </row>
    <row r="58" spans="1:14" x14ac:dyDescent="0.3">
      <c r="A58" s="12" t="s">
        <v>371</v>
      </c>
      <c r="B58" s="12" t="s">
        <v>376</v>
      </c>
      <c r="C58" s="12" t="s">
        <v>372</v>
      </c>
      <c r="D58" s="12" t="s">
        <v>94</v>
      </c>
      <c r="E58" s="12" t="s">
        <v>373</v>
      </c>
      <c r="F58" s="10">
        <v>101008</v>
      </c>
      <c r="G58" s="10">
        <v>16500</v>
      </c>
      <c r="H58" s="10">
        <v>3096</v>
      </c>
      <c r="N58" s="12" t="s">
        <v>122</v>
      </c>
    </row>
    <row r="59" spans="1:14" x14ac:dyDescent="0.3">
      <c r="A59" s="12" t="s">
        <v>370</v>
      </c>
      <c r="B59" s="12" t="s">
        <v>375</v>
      </c>
      <c r="C59" s="12" t="s">
        <v>372</v>
      </c>
      <c r="D59" s="12" t="s">
        <v>94</v>
      </c>
      <c r="E59" s="12" t="s">
        <v>373</v>
      </c>
      <c r="F59" s="10">
        <v>69702</v>
      </c>
      <c r="G59" s="10">
        <v>15510</v>
      </c>
      <c r="H59" s="10">
        <v>3102</v>
      </c>
      <c r="N59" s="12" t="s">
        <v>328</v>
      </c>
    </row>
    <row r="60" spans="1:14" x14ac:dyDescent="0.3">
      <c r="A60" s="12" t="s">
        <v>369</v>
      </c>
      <c r="B60" s="12" t="s">
        <v>374</v>
      </c>
      <c r="C60" s="12" t="s">
        <v>372</v>
      </c>
      <c r="D60" s="12" t="s">
        <v>94</v>
      </c>
      <c r="E60" s="12" t="s">
        <v>373</v>
      </c>
      <c r="F60" s="10">
        <v>58904</v>
      </c>
      <c r="G60" s="10">
        <v>12945</v>
      </c>
      <c r="H60" s="10">
        <v>2268</v>
      </c>
      <c r="N60" s="12" t="s">
        <v>328</v>
      </c>
    </row>
    <row r="61" spans="1:14" x14ac:dyDescent="0.3">
      <c r="A61" s="12" t="s">
        <v>380</v>
      </c>
      <c r="B61" s="12" t="s">
        <v>393</v>
      </c>
      <c r="C61" s="12" t="s">
        <v>398</v>
      </c>
      <c r="D61" s="12" t="s">
        <v>76</v>
      </c>
      <c r="E61" s="12" t="s">
        <v>79</v>
      </c>
      <c r="F61" s="10">
        <v>30635</v>
      </c>
      <c r="G61" s="10">
        <v>6814</v>
      </c>
      <c r="H61" s="10">
        <v>1905</v>
      </c>
      <c r="N61" s="12" t="s">
        <v>122</v>
      </c>
    </row>
    <row r="62" spans="1:14" x14ac:dyDescent="0.3">
      <c r="A62" s="12" t="s">
        <v>72</v>
      </c>
      <c r="B62" s="12" t="s">
        <v>73</v>
      </c>
      <c r="C62" s="12" t="s">
        <v>871</v>
      </c>
      <c r="D62" s="12" t="s">
        <v>219</v>
      </c>
      <c r="E62" s="12" t="s">
        <v>201</v>
      </c>
      <c r="H62" s="19"/>
    </row>
    <row r="63" spans="1:14" x14ac:dyDescent="0.3">
      <c r="A63" s="12" t="s">
        <v>112</v>
      </c>
      <c r="B63" s="12" t="s">
        <v>74</v>
      </c>
      <c r="C63" s="9" t="s">
        <v>834</v>
      </c>
      <c r="D63" s="9" t="s">
        <v>94</v>
      </c>
      <c r="E63" s="9" t="s">
        <v>113</v>
      </c>
      <c r="F63" s="10">
        <v>68563</v>
      </c>
      <c r="G63" s="10">
        <v>12842</v>
      </c>
      <c r="H63" s="22">
        <v>3266</v>
      </c>
      <c r="J63" s="18"/>
      <c r="N63" s="12" t="s">
        <v>143</v>
      </c>
    </row>
    <row r="64" spans="1:14" x14ac:dyDescent="0.3">
      <c r="A64" s="12" t="s">
        <v>114</v>
      </c>
      <c r="B64" s="12" t="s">
        <v>74</v>
      </c>
      <c r="C64" s="9" t="s">
        <v>834</v>
      </c>
      <c r="D64" s="9" t="s">
        <v>94</v>
      </c>
      <c r="E64" s="9" t="s">
        <v>113</v>
      </c>
      <c r="F64" s="10">
        <v>83987</v>
      </c>
      <c r="G64" s="10">
        <v>13726</v>
      </c>
      <c r="H64" s="10">
        <v>6360</v>
      </c>
      <c r="N64" s="12" t="s">
        <v>105</v>
      </c>
    </row>
    <row r="65" spans="1:14" x14ac:dyDescent="0.3">
      <c r="A65" s="12" t="s">
        <v>115</v>
      </c>
      <c r="B65" s="12" t="s">
        <v>74</v>
      </c>
      <c r="C65" s="9" t="s">
        <v>834</v>
      </c>
      <c r="D65" s="9" t="s">
        <v>94</v>
      </c>
      <c r="E65" s="9" t="s">
        <v>113</v>
      </c>
      <c r="F65" s="10">
        <v>89139</v>
      </c>
      <c r="G65" s="10">
        <v>14784</v>
      </c>
      <c r="H65" s="10">
        <v>6095</v>
      </c>
      <c r="N65" s="12" t="s">
        <v>105</v>
      </c>
    </row>
    <row r="66" spans="1:14" x14ac:dyDescent="0.3">
      <c r="A66" s="12" t="s">
        <v>296</v>
      </c>
      <c r="B66" s="12" t="s">
        <v>297</v>
      </c>
      <c r="C66" s="12" t="s">
        <v>834</v>
      </c>
      <c r="D66" s="12" t="s">
        <v>94</v>
      </c>
      <c r="E66" s="12" t="s">
        <v>113</v>
      </c>
      <c r="F66" s="10">
        <v>56680</v>
      </c>
      <c r="G66" s="10">
        <v>11253</v>
      </c>
      <c r="H66" s="10">
        <v>2870</v>
      </c>
      <c r="N66" s="12" t="s">
        <v>105</v>
      </c>
    </row>
    <row r="67" spans="1:14" x14ac:dyDescent="0.3">
      <c r="A67" s="12" t="s">
        <v>488</v>
      </c>
      <c r="B67" s="12" t="s">
        <v>499</v>
      </c>
      <c r="C67" s="12" t="s">
        <v>531</v>
      </c>
      <c r="D67" s="12" t="s">
        <v>94</v>
      </c>
      <c r="E67" s="12" t="s">
        <v>516</v>
      </c>
      <c r="F67" s="10">
        <v>188754</v>
      </c>
      <c r="G67" s="10">
        <v>41579</v>
      </c>
      <c r="H67" s="10">
        <v>6845</v>
      </c>
      <c r="N67" s="12" t="s">
        <v>328</v>
      </c>
    </row>
    <row r="68" spans="1:14" x14ac:dyDescent="0.3">
      <c r="A68" s="12" t="s">
        <v>488</v>
      </c>
      <c r="B68" s="12" t="s">
        <v>530</v>
      </c>
      <c r="C68" s="12" t="s">
        <v>531</v>
      </c>
      <c r="D68" s="12" t="s">
        <v>94</v>
      </c>
      <c r="E68" s="12" t="s">
        <v>516</v>
      </c>
      <c r="F68" s="10">
        <v>188754</v>
      </c>
      <c r="G68" s="10">
        <v>41579</v>
      </c>
      <c r="H68" s="10">
        <v>6845</v>
      </c>
      <c r="N68" s="12" t="s">
        <v>328</v>
      </c>
    </row>
    <row r="69" spans="1:14" x14ac:dyDescent="0.3">
      <c r="A69" s="12" t="s">
        <v>277</v>
      </c>
      <c r="B69" s="12" t="s">
        <v>278</v>
      </c>
      <c r="C69" s="12" t="s">
        <v>279</v>
      </c>
      <c r="D69" s="12" t="s">
        <v>280</v>
      </c>
      <c r="E69" s="12" t="s">
        <v>281</v>
      </c>
      <c r="F69" s="10">
        <v>56604</v>
      </c>
      <c r="G69" s="23">
        <v>7416</v>
      </c>
      <c r="H69" s="23">
        <v>2139</v>
      </c>
      <c r="N69" s="12" t="s">
        <v>125</v>
      </c>
    </row>
    <row r="70" spans="1:14" x14ac:dyDescent="0.3">
      <c r="A70" s="12" t="s">
        <v>488</v>
      </c>
      <c r="B70" s="12" t="s">
        <v>498</v>
      </c>
      <c r="C70" s="12" t="s">
        <v>532</v>
      </c>
      <c r="D70" s="12" t="s">
        <v>94</v>
      </c>
      <c r="E70" s="12" t="s">
        <v>516</v>
      </c>
      <c r="F70" s="10">
        <v>179000</v>
      </c>
      <c r="G70" s="10">
        <v>39815</v>
      </c>
      <c r="H70" s="10">
        <v>6080</v>
      </c>
      <c r="N70" s="12" t="s">
        <v>328</v>
      </c>
    </row>
    <row r="71" spans="1:14" x14ac:dyDescent="0.3">
      <c r="A71" s="12" t="s">
        <v>809</v>
      </c>
      <c r="B71" s="12" t="s">
        <v>810</v>
      </c>
      <c r="C71" s="12" t="s">
        <v>811</v>
      </c>
      <c r="D71" s="54" t="s">
        <v>76</v>
      </c>
      <c r="E71" s="54" t="s">
        <v>270</v>
      </c>
      <c r="F71" s="55">
        <v>39792</v>
      </c>
      <c r="G71" s="55">
        <v>5640</v>
      </c>
      <c r="H71" s="72">
        <v>1488</v>
      </c>
      <c r="I71" s="30"/>
      <c r="K71" s="30"/>
      <c r="N71" s="12" t="s">
        <v>806</v>
      </c>
    </row>
    <row r="72" spans="1:14" x14ac:dyDescent="0.3">
      <c r="A72" s="12" t="s">
        <v>159</v>
      </c>
      <c r="B72" s="12" t="s">
        <v>169</v>
      </c>
      <c r="C72" s="52" t="s">
        <v>241</v>
      </c>
      <c r="D72" s="12" t="s">
        <v>171</v>
      </c>
      <c r="E72" s="12" t="s">
        <v>178</v>
      </c>
      <c r="F72" s="18">
        <v>73883</v>
      </c>
      <c r="H72" s="23"/>
      <c r="I72" s="24"/>
      <c r="J72" s="10"/>
      <c r="K72" s="61"/>
      <c r="L72" s="27"/>
      <c r="M72" s="28"/>
      <c r="N72" s="12" t="s">
        <v>184</v>
      </c>
    </row>
    <row r="73" spans="1:14" x14ac:dyDescent="0.3">
      <c r="A73" s="12" t="s">
        <v>319</v>
      </c>
      <c r="B73" s="12" t="s">
        <v>322</v>
      </c>
      <c r="C73" s="12" t="s">
        <v>327</v>
      </c>
      <c r="D73" s="12" t="s">
        <v>324</v>
      </c>
      <c r="E73" s="12" t="s">
        <v>325</v>
      </c>
      <c r="F73" s="10">
        <v>70617</v>
      </c>
      <c r="G73" s="10">
        <v>12577</v>
      </c>
      <c r="H73" s="10">
        <v>2241</v>
      </c>
      <c r="N73" s="12" t="s">
        <v>328</v>
      </c>
    </row>
    <row r="74" spans="1:14" x14ac:dyDescent="0.3">
      <c r="A74" s="12" t="s">
        <v>823</v>
      </c>
      <c r="B74" s="12" t="s">
        <v>825</v>
      </c>
      <c r="C74" s="54" t="s">
        <v>827</v>
      </c>
      <c r="D74" s="54" t="s">
        <v>76</v>
      </c>
      <c r="E74" s="54" t="s">
        <v>186</v>
      </c>
      <c r="F74" s="55">
        <v>80045</v>
      </c>
      <c r="G74" s="55">
        <v>14130</v>
      </c>
      <c r="H74" s="72">
        <v>3965</v>
      </c>
      <c r="I74" s="30"/>
      <c r="K74" s="30"/>
      <c r="N74" s="12" t="s">
        <v>826</v>
      </c>
    </row>
    <row r="75" spans="1:14" x14ac:dyDescent="0.3">
      <c r="A75" s="12" t="s">
        <v>823</v>
      </c>
      <c r="B75" s="12" t="s">
        <v>824</v>
      </c>
      <c r="C75" s="54" t="s">
        <v>827</v>
      </c>
      <c r="D75" s="54" t="s">
        <v>76</v>
      </c>
      <c r="E75" s="54" t="s">
        <v>186</v>
      </c>
      <c r="F75" s="55">
        <v>75565</v>
      </c>
      <c r="G75" s="55">
        <v>14270</v>
      </c>
      <c r="H75" s="72">
        <v>3815</v>
      </c>
      <c r="I75" s="30"/>
      <c r="K75" s="30"/>
      <c r="N75" s="12" t="s">
        <v>826</v>
      </c>
    </row>
    <row r="76" spans="1:14" x14ac:dyDescent="0.3">
      <c r="A76" s="9" t="s">
        <v>192</v>
      </c>
      <c r="B76" s="9" t="s">
        <v>193</v>
      </c>
      <c r="C76" s="52" t="s">
        <v>206</v>
      </c>
      <c r="D76" s="9" t="s">
        <v>110</v>
      </c>
      <c r="E76" s="9" t="s">
        <v>610</v>
      </c>
      <c r="F76" s="10">
        <v>110000</v>
      </c>
      <c r="G76" s="23"/>
      <c r="H76" s="23"/>
      <c r="I76" s="24"/>
      <c r="J76" s="24"/>
      <c r="K76" s="61"/>
      <c r="L76" s="27"/>
      <c r="M76" s="28"/>
      <c r="N76" s="12" t="s">
        <v>122</v>
      </c>
    </row>
    <row r="77" spans="1:14" x14ac:dyDescent="0.3">
      <c r="A77" s="12" t="s">
        <v>436</v>
      </c>
      <c r="B77" s="12" t="s">
        <v>455</v>
      </c>
      <c r="C77" s="54" t="s">
        <v>368</v>
      </c>
      <c r="D77" s="54" t="s">
        <v>76</v>
      </c>
      <c r="E77" s="54" t="s">
        <v>145</v>
      </c>
      <c r="F77" s="18">
        <v>41880</v>
      </c>
      <c r="G77" s="30">
        <v>8624</v>
      </c>
      <c r="H77" s="30">
        <v>2552</v>
      </c>
      <c r="N77" s="12" t="s">
        <v>328</v>
      </c>
    </row>
    <row r="78" spans="1:14" x14ac:dyDescent="0.3">
      <c r="A78" s="12" t="s">
        <v>366</v>
      </c>
      <c r="B78" s="12" t="s">
        <v>367</v>
      </c>
      <c r="C78" s="54" t="s">
        <v>368</v>
      </c>
      <c r="D78" s="54" t="s">
        <v>76</v>
      </c>
      <c r="E78" s="54" t="s">
        <v>145</v>
      </c>
      <c r="F78" s="55">
        <v>43420</v>
      </c>
      <c r="G78" s="55">
        <v>9258</v>
      </c>
      <c r="H78" s="55">
        <v>2598</v>
      </c>
      <c r="N78" s="12" t="s">
        <v>328</v>
      </c>
    </row>
    <row r="79" spans="1:14" x14ac:dyDescent="0.3">
      <c r="A79" s="12" t="s">
        <v>480</v>
      </c>
      <c r="B79" s="12" t="s">
        <v>511</v>
      </c>
      <c r="C79" s="54" t="s">
        <v>451</v>
      </c>
      <c r="D79" s="54" t="s">
        <v>76</v>
      </c>
      <c r="E79" s="54" t="s">
        <v>145</v>
      </c>
      <c r="F79" s="55">
        <v>39692</v>
      </c>
      <c r="G79" s="55">
        <v>5452</v>
      </c>
      <c r="H79" s="55">
        <v>2076</v>
      </c>
      <c r="N79" s="12" t="s">
        <v>307</v>
      </c>
    </row>
    <row r="80" spans="1:14" x14ac:dyDescent="0.3">
      <c r="A80" s="12" t="s">
        <v>443</v>
      </c>
      <c r="B80" s="12" t="s">
        <v>472</v>
      </c>
      <c r="C80" s="12" t="s">
        <v>868</v>
      </c>
      <c r="D80" s="12" t="s">
        <v>473</v>
      </c>
      <c r="E80" s="12" t="s">
        <v>859</v>
      </c>
      <c r="F80" s="18">
        <v>59097</v>
      </c>
      <c r="J80" s="18"/>
      <c r="N80" s="12" t="s">
        <v>328</v>
      </c>
    </row>
    <row r="81" spans="1:14" x14ac:dyDescent="0.3">
      <c r="A81" s="12" t="s">
        <v>392</v>
      </c>
      <c r="B81" s="12" t="s">
        <v>431</v>
      </c>
      <c r="C81" s="12" t="s">
        <v>432</v>
      </c>
      <c r="D81" s="12" t="s">
        <v>103</v>
      </c>
      <c r="E81" s="12" t="s">
        <v>401</v>
      </c>
      <c r="F81" s="10">
        <v>131749</v>
      </c>
      <c r="G81" s="10">
        <v>35096</v>
      </c>
      <c r="H81" s="10">
        <v>5232</v>
      </c>
      <c r="N81" s="12" t="s">
        <v>328</v>
      </c>
    </row>
    <row r="82" spans="1:14" x14ac:dyDescent="0.3">
      <c r="A82" s="12" t="s">
        <v>135</v>
      </c>
      <c r="B82" s="12" t="s">
        <v>50</v>
      </c>
      <c r="C82" s="52" t="s">
        <v>222</v>
      </c>
      <c r="D82" s="12" t="s">
        <v>94</v>
      </c>
      <c r="E82" s="12" t="s">
        <v>95</v>
      </c>
      <c r="F82" s="18">
        <v>143630</v>
      </c>
      <c r="N82" s="12" t="s">
        <v>122</v>
      </c>
    </row>
    <row r="83" spans="1:14" x14ac:dyDescent="0.3">
      <c r="A83" s="12" t="s">
        <v>148</v>
      </c>
      <c r="B83" s="12" t="s">
        <v>160</v>
      </c>
      <c r="C83" s="12" t="s">
        <v>230</v>
      </c>
      <c r="D83" s="12" t="s">
        <v>170</v>
      </c>
      <c r="E83" s="12" t="s">
        <v>173</v>
      </c>
      <c r="F83" s="18">
        <v>242621</v>
      </c>
      <c r="G83" s="23"/>
      <c r="H83" s="23"/>
      <c r="I83" s="24"/>
      <c r="J83" s="24"/>
      <c r="K83" s="61"/>
      <c r="L83" s="27"/>
      <c r="M83" s="28"/>
      <c r="N83" s="12" t="s">
        <v>179</v>
      </c>
    </row>
    <row r="84" spans="1:14" x14ac:dyDescent="0.3">
      <c r="A84" s="12" t="s">
        <v>134</v>
      </c>
      <c r="B84" s="12" t="s">
        <v>133</v>
      </c>
      <c r="C84" s="12" t="s">
        <v>221</v>
      </c>
      <c r="D84" s="12" t="s">
        <v>94</v>
      </c>
      <c r="E84" s="12" t="s">
        <v>95</v>
      </c>
      <c r="F84" s="21">
        <v>151938</v>
      </c>
      <c r="N84" s="12" t="s">
        <v>122</v>
      </c>
    </row>
    <row r="85" spans="1:14" x14ac:dyDescent="0.3">
      <c r="A85" s="12" t="s">
        <v>312</v>
      </c>
      <c r="B85" s="12" t="s">
        <v>313</v>
      </c>
      <c r="C85" s="12" t="s">
        <v>314</v>
      </c>
      <c r="D85" s="12" t="s">
        <v>76</v>
      </c>
      <c r="E85" s="12" t="s">
        <v>315</v>
      </c>
      <c r="F85" s="10">
        <v>75459</v>
      </c>
      <c r="G85" s="10">
        <v>13168</v>
      </c>
      <c r="H85" s="10">
        <v>3669</v>
      </c>
      <c r="N85" s="12" t="s">
        <v>122</v>
      </c>
    </row>
    <row r="86" spans="1:14" x14ac:dyDescent="0.3">
      <c r="A86" s="12" t="s">
        <v>63</v>
      </c>
      <c r="B86" s="12" t="s">
        <v>64</v>
      </c>
      <c r="C86" s="9" t="s">
        <v>109</v>
      </c>
      <c r="D86" s="9" t="s">
        <v>110</v>
      </c>
      <c r="E86" s="9" t="s">
        <v>111</v>
      </c>
      <c r="F86" s="10">
        <v>56601</v>
      </c>
      <c r="G86" s="10">
        <v>9138</v>
      </c>
      <c r="H86" s="20"/>
      <c r="N86" s="12" t="s">
        <v>191</v>
      </c>
    </row>
    <row r="87" spans="1:14" x14ac:dyDescent="0.3">
      <c r="A87" s="12" t="s">
        <v>482</v>
      </c>
      <c r="B87" s="12" t="s">
        <v>517</v>
      </c>
      <c r="C87" s="12" t="s">
        <v>518</v>
      </c>
      <c r="D87" s="12" t="s">
        <v>76</v>
      </c>
      <c r="E87" s="12" t="s">
        <v>373</v>
      </c>
      <c r="F87" s="10">
        <v>118133</v>
      </c>
      <c r="G87" s="10">
        <v>30103</v>
      </c>
      <c r="H87" s="10">
        <v>4576</v>
      </c>
      <c r="N87" s="12" t="s">
        <v>307</v>
      </c>
    </row>
    <row r="88" spans="1:14" x14ac:dyDescent="0.3">
      <c r="A88" s="12" t="s">
        <v>384</v>
      </c>
      <c r="B88" s="12" t="s">
        <v>409</v>
      </c>
      <c r="C88" s="12" t="s">
        <v>410</v>
      </c>
      <c r="D88" s="12" t="s">
        <v>94</v>
      </c>
      <c r="E88" s="12" t="s">
        <v>113</v>
      </c>
      <c r="F88" s="10">
        <v>141700</v>
      </c>
      <c r="G88" s="10">
        <v>25580</v>
      </c>
      <c r="H88" s="10">
        <v>4754</v>
      </c>
      <c r="N88" s="12" t="s">
        <v>307</v>
      </c>
    </row>
    <row r="89" spans="1:14" x14ac:dyDescent="0.3">
      <c r="A89" s="12" t="s">
        <v>384</v>
      </c>
      <c r="B89" s="12" t="s">
        <v>408</v>
      </c>
      <c r="C89" s="12" t="s">
        <v>410</v>
      </c>
      <c r="D89" s="12" t="s">
        <v>94</v>
      </c>
      <c r="E89" s="12" t="s">
        <v>113</v>
      </c>
      <c r="F89" s="10">
        <v>129060</v>
      </c>
      <c r="G89" s="10">
        <v>26015</v>
      </c>
      <c r="H89" s="10">
        <v>4769</v>
      </c>
      <c r="N89" s="12" t="s">
        <v>105</v>
      </c>
    </row>
    <row r="90" spans="1:14" x14ac:dyDescent="0.3">
      <c r="A90" s="12" t="s">
        <v>53</v>
      </c>
      <c r="B90" s="12" t="s">
        <v>54</v>
      </c>
      <c r="C90" s="52" t="s">
        <v>213</v>
      </c>
      <c r="D90" s="12" t="s">
        <v>140</v>
      </c>
      <c r="E90" s="12" t="s">
        <v>139</v>
      </c>
      <c r="F90" s="18">
        <v>108487</v>
      </c>
      <c r="N90" s="12" t="s">
        <v>143</v>
      </c>
    </row>
    <row r="91" spans="1:14" x14ac:dyDescent="0.3">
      <c r="A91" s="12" t="s">
        <v>805</v>
      </c>
      <c r="B91" s="12" t="s">
        <v>807</v>
      </c>
      <c r="C91" s="54" t="s">
        <v>808</v>
      </c>
      <c r="D91" s="54" t="s">
        <v>103</v>
      </c>
      <c r="E91" s="54" t="s">
        <v>141</v>
      </c>
      <c r="F91" s="55">
        <v>161185</v>
      </c>
      <c r="G91" s="55">
        <v>36251</v>
      </c>
      <c r="H91" s="72">
        <v>5787</v>
      </c>
      <c r="I91" s="30"/>
      <c r="K91" s="30"/>
      <c r="N91" s="12" t="s">
        <v>105</v>
      </c>
    </row>
    <row r="92" spans="1:14" x14ac:dyDescent="0.3">
      <c r="A92" s="12" t="s">
        <v>487</v>
      </c>
      <c r="B92" s="12" t="s">
        <v>528</v>
      </c>
      <c r="C92" s="56" t="s">
        <v>529</v>
      </c>
      <c r="D92" s="12" t="s">
        <v>76</v>
      </c>
      <c r="E92" s="12" t="s">
        <v>87</v>
      </c>
      <c r="F92" s="10">
        <v>120999</v>
      </c>
      <c r="G92" s="10">
        <v>27922</v>
      </c>
      <c r="H92" s="10">
        <v>6105</v>
      </c>
      <c r="N92" s="12" t="s">
        <v>466</v>
      </c>
    </row>
    <row r="93" spans="1:14" x14ac:dyDescent="0.3">
      <c r="A93" s="12" t="s">
        <v>353</v>
      </c>
      <c r="B93" s="12" t="s">
        <v>354</v>
      </c>
      <c r="C93" s="12" t="s">
        <v>355</v>
      </c>
      <c r="D93" s="12" t="s">
        <v>356</v>
      </c>
      <c r="E93" s="12" t="s">
        <v>357</v>
      </c>
      <c r="F93" s="10">
        <v>38970</v>
      </c>
      <c r="G93" s="10">
        <v>9759</v>
      </c>
      <c r="N93" s="12" t="s">
        <v>328</v>
      </c>
    </row>
    <row r="94" spans="1:14" x14ac:dyDescent="0.3">
      <c r="A94" s="12" t="s">
        <v>362</v>
      </c>
      <c r="B94" s="12" t="s">
        <v>363</v>
      </c>
      <c r="C94" s="52" t="s">
        <v>365</v>
      </c>
      <c r="D94" s="12" t="s">
        <v>364</v>
      </c>
      <c r="E94" s="12" t="s">
        <v>364</v>
      </c>
      <c r="F94" s="10">
        <v>47337</v>
      </c>
      <c r="G94" s="23">
        <v>8394</v>
      </c>
      <c r="H94" s="23">
        <v>2385</v>
      </c>
      <c r="N94" s="12" t="s">
        <v>328</v>
      </c>
    </row>
    <row r="95" spans="1:14" x14ac:dyDescent="0.3">
      <c r="A95" s="12" t="s">
        <v>123</v>
      </c>
      <c r="B95" s="12" t="s">
        <v>124</v>
      </c>
      <c r="C95" s="52" t="s">
        <v>235</v>
      </c>
      <c r="D95" s="12" t="s">
        <v>137</v>
      </c>
      <c r="E95" s="12" t="s">
        <v>95</v>
      </c>
      <c r="F95" s="21">
        <v>168710</v>
      </c>
      <c r="N95" s="12" t="s">
        <v>122</v>
      </c>
    </row>
    <row r="96" spans="1:14" x14ac:dyDescent="0.3">
      <c r="A96" s="12" t="s">
        <v>854</v>
      </c>
      <c r="B96" s="12" t="s">
        <v>853</v>
      </c>
      <c r="C96" s="54" t="s">
        <v>855</v>
      </c>
      <c r="D96" s="54" t="s">
        <v>311</v>
      </c>
      <c r="E96" s="54" t="s">
        <v>146</v>
      </c>
      <c r="F96" s="55">
        <v>56293</v>
      </c>
      <c r="G96" s="55">
        <v>10677</v>
      </c>
      <c r="H96" s="55">
        <v>2640</v>
      </c>
      <c r="N96" s="12" t="s">
        <v>806</v>
      </c>
    </row>
    <row r="97" spans="1:14" x14ac:dyDescent="0.3">
      <c r="A97" s="12" t="s">
        <v>341</v>
      </c>
      <c r="B97" s="12" t="s">
        <v>342</v>
      </c>
      <c r="C97" s="12" t="s">
        <v>343</v>
      </c>
      <c r="D97" s="12" t="s">
        <v>94</v>
      </c>
      <c r="E97" s="12" t="s">
        <v>81</v>
      </c>
      <c r="F97" s="10">
        <v>141428</v>
      </c>
      <c r="G97" s="10">
        <v>32008</v>
      </c>
      <c r="H97" s="10">
        <v>4732</v>
      </c>
      <c r="N97" s="12" t="s">
        <v>122</v>
      </c>
    </row>
    <row r="98" spans="1:14" x14ac:dyDescent="0.3">
      <c r="A98" s="12" t="s">
        <v>382</v>
      </c>
      <c r="B98" s="12" t="s">
        <v>395</v>
      </c>
      <c r="C98" s="12" t="s">
        <v>404</v>
      </c>
      <c r="D98" s="12" t="s">
        <v>76</v>
      </c>
      <c r="E98" s="12" t="s">
        <v>79</v>
      </c>
      <c r="F98" s="10">
        <v>60680</v>
      </c>
      <c r="G98" s="10">
        <v>13014</v>
      </c>
      <c r="H98" s="10">
        <v>3000</v>
      </c>
      <c r="N98" s="12" t="s">
        <v>131</v>
      </c>
    </row>
    <row r="99" spans="1:14" x14ac:dyDescent="0.3">
      <c r="A99" s="12" t="s">
        <v>382</v>
      </c>
      <c r="B99" s="12" t="s">
        <v>394</v>
      </c>
      <c r="C99" s="12" t="s">
        <v>402</v>
      </c>
      <c r="D99" s="12" t="s">
        <v>76</v>
      </c>
      <c r="E99" s="12" t="s">
        <v>403</v>
      </c>
      <c r="F99" s="10">
        <v>29601</v>
      </c>
      <c r="G99" s="10">
        <v>6170</v>
      </c>
      <c r="H99" s="10">
        <v>2040</v>
      </c>
      <c r="N99" s="12" t="s">
        <v>131</v>
      </c>
    </row>
    <row r="100" spans="1:14" x14ac:dyDescent="0.3">
      <c r="A100" s="12" t="s">
        <v>439</v>
      </c>
      <c r="B100" s="12" t="s">
        <v>460</v>
      </c>
      <c r="C100" s="12" t="s">
        <v>459</v>
      </c>
      <c r="D100" s="12" t="s">
        <v>103</v>
      </c>
      <c r="E100" s="12" t="s">
        <v>189</v>
      </c>
      <c r="F100" s="10">
        <v>31547</v>
      </c>
      <c r="G100" s="10">
        <v>5531</v>
      </c>
      <c r="H100" s="10">
        <v>1952</v>
      </c>
      <c r="N100" s="12" t="s">
        <v>328</v>
      </c>
    </row>
    <row r="101" spans="1:14" x14ac:dyDescent="0.3">
      <c r="A101" s="12" t="s">
        <v>379</v>
      </c>
      <c r="B101" s="12" t="s">
        <v>475</v>
      </c>
      <c r="C101" s="56" t="s">
        <v>476</v>
      </c>
      <c r="D101" s="56" t="s">
        <v>76</v>
      </c>
      <c r="E101" s="56" t="s">
        <v>401</v>
      </c>
      <c r="F101" s="18">
        <v>70904</v>
      </c>
      <c r="G101" s="59">
        <v>15736</v>
      </c>
      <c r="H101" s="59">
        <v>3232</v>
      </c>
      <c r="N101" s="12" t="s">
        <v>190</v>
      </c>
    </row>
    <row r="102" spans="1:14" x14ac:dyDescent="0.3">
      <c r="A102" s="12" t="s">
        <v>379</v>
      </c>
      <c r="B102" s="12" t="s">
        <v>474</v>
      </c>
      <c r="C102" s="56" t="s">
        <v>476</v>
      </c>
      <c r="D102" s="56" t="s">
        <v>76</v>
      </c>
      <c r="E102" s="56" t="s">
        <v>869</v>
      </c>
      <c r="F102" s="18">
        <v>67786</v>
      </c>
      <c r="G102" s="59">
        <v>14260</v>
      </c>
      <c r="H102" s="56">
        <v>3215</v>
      </c>
      <c r="N102" s="12" t="s">
        <v>423</v>
      </c>
    </row>
    <row r="103" spans="1:14" x14ac:dyDescent="0.3">
      <c r="A103" s="12" t="s">
        <v>440</v>
      </c>
      <c r="B103" s="12" t="s">
        <v>465</v>
      </c>
      <c r="C103" s="12" t="s">
        <v>462</v>
      </c>
      <c r="D103" s="12" t="s">
        <v>463</v>
      </c>
      <c r="E103" s="12" t="s">
        <v>502</v>
      </c>
      <c r="F103" s="77">
        <v>44115</v>
      </c>
      <c r="G103" s="10">
        <v>8388</v>
      </c>
      <c r="H103" s="10">
        <v>2400</v>
      </c>
      <c r="N103" s="12" t="s">
        <v>466</v>
      </c>
    </row>
    <row r="104" spans="1:14" x14ac:dyDescent="0.3">
      <c r="A104" s="12" t="s">
        <v>440</v>
      </c>
      <c r="B104" s="12" t="s">
        <v>464</v>
      </c>
      <c r="C104" s="12" t="s">
        <v>461</v>
      </c>
      <c r="D104" s="12" t="s">
        <v>94</v>
      </c>
      <c r="E104" s="12" t="s">
        <v>113</v>
      </c>
      <c r="F104" s="10">
        <v>66523</v>
      </c>
      <c r="G104" s="10">
        <v>13901</v>
      </c>
      <c r="H104" s="10">
        <v>3724</v>
      </c>
      <c r="N104" s="12" t="s">
        <v>190</v>
      </c>
    </row>
    <row r="105" spans="1:14" x14ac:dyDescent="0.3">
      <c r="A105" s="12" t="s">
        <v>794</v>
      </c>
      <c r="B105" s="12" t="s">
        <v>795</v>
      </c>
      <c r="C105" s="12" t="s">
        <v>796</v>
      </c>
      <c r="D105" s="12" t="s">
        <v>94</v>
      </c>
      <c r="E105" s="12" t="s">
        <v>797</v>
      </c>
      <c r="F105" s="18">
        <v>68635</v>
      </c>
      <c r="G105" s="20">
        <v>15282</v>
      </c>
      <c r="H105" s="20">
        <v>2875</v>
      </c>
      <c r="N105" s="12" t="s">
        <v>125</v>
      </c>
    </row>
    <row r="106" spans="1:14" x14ac:dyDescent="0.3">
      <c r="A106" s="12" t="s">
        <v>68</v>
      </c>
      <c r="B106" s="12" t="s">
        <v>69</v>
      </c>
      <c r="C106" s="9" t="s">
        <v>90</v>
      </c>
      <c r="D106" s="9" t="s">
        <v>76</v>
      </c>
      <c r="E106" s="9" t="s">
        <v>81</v>
      </c>
      <c r="F106" s="10">
        <v>50283</v>
      </c>
      <c r="G106" s="10">
        <v>12453</v>
      </c>
      <c r="H106" s="22">
        <v>2088</v>
      </c>
      <c r="N106" s="12" t="s">
        <v>143</v>
      </c>
    </row>
    <row r="107" spans="1:14" x14ac:dyDescent="0.3">
      <c r="A107" s="12" t="s">
        <v>25</v>
      </c>
      <c r="B107" s="12" t="s">
        <v>19</v>
      </c>
      <c r="C107" s="52" t="s">
        <v>242</v>
      </c>
      <c r="D107" s="9" t="s">
        <v>76</v>
      </c>
      <c r="E107" s="9" t="s">
        <v>136</v>
      </c>
      <c r="F107" s="10">
        <v>40252</v>
      </c>
      <c r="N107" s="12" t="s">
        <v>125</v>
      </c>
    </row>
    <row r="108" spans="1:14" x14ac:dyDescent="0.3">
      <c r="A108" s="12" t="s">
        <v>264</v>
      </c>
      <c r="B108" s="12" t="s">
        <v>265</v>
      </c>
      <c r="C108" s="12" t="s">
        <v>266</v>
      </c>
      <c r="D108" s="12" t="s">
        <v>76</v>
      </c>
      <c r="E108" s="12" t="s">
        <v>79</v>
      </c>
      <c r="F108" s="10">
        <v>52543</v>
      </c>
      <c r="G108" s="10">
        <v>9180</v>
      </c>
      <c r="H108" s="10">
        <v>2402</v>
      </c>
      <c r="N108" s="12" t="s">
        <v>105</v>
      </c>
    </row>
    <row r="109" spans="1:14" x14ac:dyDescent="0.3">
      <c r="A109" s="12" t="s">
        <v>66</v>
      </c>
      <c r="B109" s="12" t="s">
        <v>67</v>
      </c>
      <c r="C109" s="9" t="s">
        <v>96</v>
      </c>
      <c r="D109" s="9" t="s">
        <v>94</v>
      </c>
      <c r="E109" s="9" t="s">
        <v>97</v>
      </c>
      <c r="F109" s="10">
        <v>174679</v>
      </c>
      <c r="G109" s="10">
        <v>26619</v>
      </c>
      <c r="H109" s="22">
        <v>6630</v>
      </c>
      <c r="N109" s="12" t="s">
        <v>105</v>
      </c>
    </row>
    <row r="110" spans="1:14" x14ac:dyDescent="0.3">
      <c r="A110" s="12" t="s">
        <v>273</v>
      </c>
      <c r="B110" s="12" t="s">
        <v>274</v>
      </c>
      <c r="C110" s="12" t="s">
        <v>275</v>
      </c>
      <c r="D110" s="12" t="s">
        <v>137</v>
      </c>
      <c r="E110" s="12" t="s">
        <v>276</v>
      </c>
      <c r="F110" s="10">
        <v>25370</v>
      </c>
      <c r="G110" s="10">
        <v>4862</v>
      </c>
      <c r="H110" s="10">
        <v>1818</v>
      </c>
      <c r="N110" s="12" t="s">
        <v>122</v>
      </c>
    </row>
    <row r="111" spans="1:14" x14ac:dyDescent="0.3">
      <c r="A111" s="9"/>
      <c r="B111" s="9" t="s">
        <v>194</v>
      </c>
      <c r="C111" s="52" t="s">
        <v>220</v>
      </c>
      <c r="D111" s="9" t="s">
        <v>202</v>
      </c>
      <c r="E111" s="9" t="s">
        <v>201</v>
      </c>
      <c r="F111" s="10">
        <v>12000</v>
      </c>
      <c r="G111" s="23"/>
      <c r="H111" s="23"/>
      <c r="I111" s="24"/>
      <c r="J111" s="24"/>
      <c r="K111" s="61"/>
      <c r="L111" s="27"/>
      <c r="M111" s="28"/>
      <c r="N111" s="12" t="s">
        <v>130</v>
      </c>
    </row>
    <row r="112" spans="1:14" x14ac:dyDescent="0.3">
      <c r="A112" s="12" t="s">
        <v>337</v>
      </c>
      <c r="B112" s="12" t="s">
        <v>338</v>
      </c>
      <c r="C112" s="12" t="s">
        <v>335</v>
      </c>
      <c r="D112" s="12" t="s">
        <v>94</v>
      </c>
      <c r="E112" s="12" t="s">
        <v>336</v>
      </c>
      <c r="F112" s="10">
        <v>46142</v>
      </c>
      <c r="G112" s="10">
        <v>7366</v>
      </c>
      <c r="H112" s="10">
        <v>2009</v>
      </c>
      <c r="N112" s="12" t="s">
        <v>328</v>
      </c>
    </row>
    <row r="113" spans="1:14" x14ac:dyDescent="0.3">
      <c r="A113" s="12" t="s">
        <v>383</v>
      </c>
      <c r="B113" s="12" t="s">
        <v>405</v>
      </c>
      <c r="C113" s="56" t="s">
        <v>406</v>
      </c>
      <c r="D113" s="12" t="s">
        <v>76</v>
      </c>
      <c r="E113" s="12" t="s">
        <v>407</v>
      </c>
      <c r="F113" s="10">
        <v>59615</v>
      </c>
      <c r="G113" s="10">
        <v>10439</v>
      </c>
      <c r="H113" s="10">
        <v>2645</v>
      </c>
      <c r="N113" s="12" t="s">
        <v>105</v>
      </c>
    </row>
    <row r="114" spans="1:14" x14ac:dyDescent="0.3">
      <c r="A114" s="12" t="s">
        <v>847</v>
      </c>
      <c r="B114" s="12" t="s">
        <v>846</v>
      </c>
      <c r="C114" s="12" t="s">
        <v>848</v>
      </c>
      <c r="D114" s="12" t="s">
        <v>311</v>
      </c>
      <c r="E114" s="12" t="s">
        <v>849</v>
      </c>
      <c r="F114" s="18">
        <v>32932</v>
      </c>
      <c r="G114" s="30">
        <v>4438</v>
      </c>
      <c r="H114" s="30">
        <v>3854</v>
      </c>
      <c r="N114" s="12" t="s">
        <v>122</v>
      </c>
    </row>
    <row r="115" spans="1:14" x14ac:dyDescent="0.3">
      <c r="A115" s="12" t="s">
        <v>151</v>
      </c>
      <c r="B115" s="12" t="s">
        <v>162</v>
      </c>
      <c r="C115" s="52" t="s">
        <v>225</v>
      </c>
      <c r="D115" s="12" t="s">
        <v>171</v>
      </c>
      <c r="E115" s="12" t="s">
        <v>175</v>
      </c>
      <c r="F115" s="18">
        <v>30000</v>
      </c>
      <c r="G115" s="23"/>
      <c r="H115" s="23"/>
      <c r="I115" s="24"/>
      <c r="J115" s="24"/>
      <c r="K115" s="61"/>
      <c r="L115" s="27"/>
      <c r="M115" s="28"/>
      <c r="N115" s="12" t="s">
        <v>179</v>
      </c>
    </row>
    <row r="116" spans="1:14" x14ac:dyDescent="0.3">
      <c r="A116" s="12" t="s">
        <v>56</v>
      </c>
      <c r="B116" s="12" t="s">
        <v>59</v>
      </c>
      <c r="C116" s="9" t="s">
        <v>106</v>
      </c>
      <c r="D116" s="9" t="s">
        <v>103</v>
      </c>
      <c r="E116" s="9" t="s">
        <v>81</v>
      </c>
      <c r="F116" s="10">
        <v>136814</v>
      </c>
      <c r="G116" s="10">
        <v>31625</v>
      </c>
      <c r="H116" s="22">
        <v>4300</v>
      </c>
      <c r="N116" s="12" t="s">
        <v>122</v>
      </c>
    </row>
    <row r="117" spans="1:14" x14ac:dyDescent="0.3">
      <c r="A117" s="12" t="s">
        <v>298</v>
      </c>
      <c r="B117" s="12" t="s">
        <v>299</v>
      </c>
      <c r="C117" s="12" t="s">
        <v>300</v>
      </c>
      <c r="D117" s="12" t="s">
        <v>76</v>
      </c>
      <c r="E117" s="12" t="s">
        <v>121</v>
      </c>
      <c r="F117" s="10">
        <v>49590</v>
      </c>
      <c r="G117" s="10">
        <v>10068</v>
      </c>
      <c r="H117" s="10">
        <v>2481</v>
      </c>
      <c r="N117" s="12" t="s">
        <v>125</v>
      </c>
    </row>
    <row r="118" spans="1:14" x14ac:dyDescent="0.3">
      <c r="A118" s="9"/>
      <c r="B118" s="9" t="s">
        <v>197</v>
      </c>
      <c r="C118" s="9" t="s">
        <v>203</v>
      </c>
      <c r="D118" s="9" t="s">
        <v>202</v>
      </c>
      <c r="E118" s="9" t="s">
        <v>201</v>
      </c>
      <c r="F118" s="10">
        <v>14500</v>
      </c>
      <c r="H118" s="23"/>
      <c r="I118" s="24"/>
      <c r="J118" s="10"/>
      <c r="K118" s="61"/>
      <c r="L118" s="27"/>
      <c r="M118" s="28"/>
      <c r="N118" s="12" t="s">
        <v>130</v>
      </c>
    </row>
    <row r="119" spans="1:14" x14ac:dyDescent="0.3">
      <c r="A119" s="12" t="s">
        <v>388</v>
      </c>
      <c r="B119" s="12" t="s">
        <v>419</v>
      </c>
      <c r="C119" s="12" t="s">
        <v>420</v>
      </c>
      <c r="D119" s="12" t="s">
        <v>76</v>
      </c>
      <c r="E119" s="12" t="s">
        <v>146</v>
      </c>
      <c r="F119" s="10">
        <v>131149</v>
      </c>
      <c r="G119" s="10">
        <v>33058</v>
      </c>
      <c r="H119" s="10">
        <v>5103</v>
      </c>
      <c r="N119" s="12" t="s">
        <v>190</v>
      </c>
    </row>
    <row r="120" spans="1:14" x14ac:dyDescent="0.3">
      <c r="A120" s="12" t="s">
        <v>267</v>
      </c>
      <c r="B120" s="12" t="s">
        <v>268</v>
      </c>
      <c r="C120" s="12" t="s">
        <v>269</v>
      </c>
      <c r="D120" s="12" t="s">
        <v>76</v>
      </c>
      <c r="E120" s="12" t="s">
        <v>270</v>
      </c>
      <c r="F120" s="10">
        <v>47735</v>
      </c>
      <c r="G120" s="10">
        <v>10574</v>
      </c>
      <c r="H120" s="10">
        <v>2465</v>
      </c>
      <c r="N120" s="12" t="s">
        <v>131</v>
      </c>
    </row>
    <row r="121" spans="1:14" x14ac:dyDescent="0.3">
      <c r="A121" s="12" t="s">
        <v>154</v>
      </c>
      <c r="B121" s="12" t="s">
        <v>217</v>
      </c>
      <c r="C121" s="9" t="s">
        <v>218</v>
      </c>
      <c r="D121" s="12" t="s">
        <v>219</v>
      </c>
      <c r="E121" s="12" t="s">
        <v>201</v>
      </c>
      <c r="F121" s="30"/>
      <c r="G121" s="23"/>
      <c r="H121" s="23"/>
      <c r="I121" s="24"/>
      <c r="J121" s="24"/>
      <c r="K121" s="61"/>
      <c r="L121" s="27"/>
      <c r="M121" s="28"/>
      <c r="N121" s="12" t="s">
        <v>181</v>
      </c>
    </row>
    <row r="122" spans="1:14" x14ac:dyDescent="0.3">
      <c r="A122" s="12" t="s">
        <v>28</v>
      </c>
      <c r="B122" s="12" t="s">
        <v>29</v>
      </c>
      <c r="C122" s="9" t="s">
        <v>75</v>
      </c>
      <c r="D122" s="9" t="s">
        <v>76</v>
      </c>
      <c r="E122" s="9" t="s">
        <v>77</v>
      </c>
      <c r="F122" s="10">
        <v>42084</v>
      </c>
      <c r="G122" s="10">
        <v>6476</v>
      </c>
      <c r="H122" s="22">
        <v>2100</v>
      </c>
      <c r="I122" s="11"/>
      <c r="N122" s="12" t="s">
        <v>131</v>
      </c>
    </row>
    <row r="123" spans="1:14" x14ac:dyDescent="0.3">
      <c r="A123" s="12" t="s">
        <v>150</v>
      </c>
      <c r="B123" s="12" t="s">
        <v>216</v>
      </c>
      <c r="C123" s="52" t="s">
        <v>215</v>
      </c>
      <c r="D123" s="12" t="s">
        <v>171</v>
      </c>
      <c r="E123" s="12" t="s">
        <v>174</v>
      </c>
      <c r="F123" s="18">
        <v>22184</v>
      </c>
      <c r="G123" s="23"/>
      <c r="H123" s="23"/>
      <c r="I123" s="24"/>
      <c r="J123" s="24"/>
      <c r="K123" s="61"/>
      <c r="L123" s="27"/>
      <c r="M123" s="28"/>
      <c r="N123" s="12" t="s">
        <v>180</v>
      </c>
    </row>
    <row r="124" spans="1:14" x14ac:dyDescent="0.3">
      <c r="A124" s="12" t="s">
        <v>149</v>
      </c>
      <c r="B124" s="12" t="s">
        <v>161</v>
      </c>
      <c r="C124" s="52" t="s">
        <v>214</v>
      </c>
      <c r="D124" s="12" t="s">
        <v>171</v>
      </c>
      <c r="E124" s="12" t="s">
        <v>174</v>
      </c>
      <c r="F124" s="18">
        <v>21008</v>
      </c>
      <c r="G124" s="23"/>
      <c r="H124" s="23"/>
      <c r="I124" s="24"/>
      <c r="J124" s="24"/>
      <c r="K124" s="61"/>
      <c r="L124" s="27"/>
      <c r="M124" s="28"/>
      <c r="N124" s="12" t="s">
        <v>180</v>
      </c>
    </row>
    <row r="125" spans="1:14" x14ac:dyDescent="0.3">
      <c r="A125" s="12" t="s">
        <v>386</v>
      </c>
      <c r="B125" s="12" t="s">
        <v>424</v>
      </c>
      <c r="C125" s="12" t="s">
        <v>414</v>
      </c>
      <c r="D125" s="12" t="s">
        <v>415</v>
      </c>
      <c r="F125" s="10">
        <v>59192</v>
      </c>
      <c r="G125" s="10">
        <v>12893</v>
      </c>
      <c r="H125" s="10">
        <v>2704</v>
      </c>
      <c r="N125" s="12" t="s">
        <v>416</v>
      </c>
    </row>
    <row r="126" spans="1:14" x14ac:dyDescent="0.3">
      <c r="A126" s="12" t="s">
        <v>51</v>
      </c>
      <c r="B126" s="12" t="s">
        <v>52</v>
      </c>
      <c r="C126" s="52" t="s">
        <v>236</v>
      </c>
      <c r="D126" s="12" t="s">
        <v>110</v>
      </c>
      <c r="E126" s="12" t="s">
        <v>81</v>
      </c>
      <c r="F126" s="21">
        <v>67405</v>
      </c>
      <c r="N126" s="12" t="s">
        <v>122</v>
      </c>
    </row>
    <row r="127" spans="1:14" x14ac:dyDescent="0.3">
      <c r="A127" s="12" t="s">
        <v>22</v>
      </c>
      <c r="B127" s="12" t="s">
        <v>15</v>
      </c>
      <c r="C127" s="12" t="s">
        <v>239</v>
      </c>
      <c r="D127" s="12" t="s">
        <v>110</v>
      </c>
      <c r="E127" s="12" t="s">
        <v>81</v>
      </c>
      <c r="F127" s="18">
        <v>259257</v>
      </c>
      <c r="N127" s="12" t="s">
        <v>142</v>
      </c>
    </row>
    <row r="128" spans="1:14" x14ac:dyDescent="0.3">
      <c r="A128" s="12" t="s">
        <v>45</v>
      </c>
      <c r="B128" s="12" t="s">
        <v>46</v>
      </c>
      <c r="C128" s="52" t="s">
        <v>209</v>
      </c>
      <c r="D128" s="12" t="s">
        <v>103</v>
      </c>
      <c r="E128" s="12" t="s">
        <v>189</v>
      </c>
      <c r="F128" s="21">
        <v>54359</v>
      </c>
      <c r="N128" s="12" t="s">
        <v>131</v>
      </c>
    </row>
    <row r="129" spans="1:14" x14ac:dyDescent="0.3">
      <c r="A129" s="12" t="s">
        <v>303</v>
      </c>
      <c r="B129" s="12" t="s">
        <v>301</v>
      </c>
      <c r="C129" s="12" t="s">
        <v>304</v>
      </c>
      <c r="D129" s="12" t="s">
        <v>305</v>
      </c>
      <c r="E129" s="12" t="s">
        <v>201</v>
      </c>
      <c r="F129" s="10">
        <v>11632</v>
      </c>
      <c r="G129" s="10">
        <v>2880</v>
      </c>
      <c r="H129" s="10">
        <v>1437</v>
      </c>
      <c r="J129" s="18"/>
      <c r="N129" s="12" t="s">
        <v>307</v>
      </c>
    </row>
    <row r="130" spans="1:14" x14ac:dyDescent="0.3">
      <c r="A130" s="12" t="s">
        <v>302</v>
      </c>
      <c r="B130" s="12" t="s">
        <v>301</v>
      </c>
      <c r="C130" s="12" t="s">
        <v>306</v>
      </c>
      <c r="D130" s="12" t="s">
        <v>305</v>
      </c>
      <c r="E130" s="12" t="s">
        <v>201</v>
      </c>
      <c r="F130" s="10">
        <v>11632</v>
      </c>
      <c r="G130" s="10">
        <v>2880</v>
      </c>
      <c r="H130" s="10">
        <v>1437</v>
      </c>
      <c r="N130" s="12" t="s">
        <v>125</v>
      </c>
    </row>
    <row r="131" spans="1:14" x14ac:dyDescent="0.3">
      <c r="A131" s="12" t="s">
        <v>485</v>
      </c>
      <c r="B131" s="12" t="s">
        <v>524</v>
      </c>
      <c r="C131" s="12" t="s">
        <v>525</v>
      </c>
      <c r="D131" s="12" t="s">
        <v>76</v>
      </c>
      <c r="E131" s="12" t="s">
        <v>145</v>
      </c>
      <c r="F131" s="10">
        <v>85515</v>
      </c>
      <c r="G131" s="10">
        <v>14985</v>
      </c>
      <c r="H131" s="10">
        <v>4250</v>
      </c>
      <c r="N131" s="12" t="s">
        <v>466</v>
      </c>
    </row>
    <row r="132" spans="1:14" x14ac:dyDescent="0.3">
      <c r="A132" s="12" t="s">
        <v>308</v>
      </c>
      <c r="B132" s="12" t="s">
        <v>309</v>
      </c>
      <c r="C132" s="12" t="s">
        <v>310</v>
      </c>
      <c r="D132" s="12" t="s">
        <v>311</v>
      </c>
      <c r="E132" s="12" t="s">
        <v>121</v>
      </c>
      <c r="F132" s="10">
        <v>125197</v>
      </c>
      <c r="G132" s="10">
        <v>31103</v>
      </c>
      <c r="H132" s="10">
        <v>6558</v>
      </c>
      <c r="N132" s="12" t="s">
        <v>122</v>
      </c>
    </row>
    <row r="133" spans="1:14" x14ac:dyDescent="0.3">
      <c r="A133" s="12" t="s">
        <v>387</v>
      </c>
      <c r="B133" s="54" t="s">
        <v>417</v>
      </c>
      <c r="C133" s="54" t="s">
        <v>418</v>
      </c>
      <c r="D133" s="54" t="s">
        <v>76</v>
      </c>
      <c r="E133" s="54" t="s">
        <v>270</v>
      </c>
      <c r="F133" s="55">
        <v>62274</v>
      </c>
      <c r="G133" s="55">
        <v>14808</v>
      </c>
      <c r="H133" s="55">
        <v>2472</v>
      </c>
      <c r="N133" s="12" t="s">
        <v>190</v>
      </c>
    </row>
    <row r="134" spans="1:14" x14ac:dyDescent="0.3">
      <c r="A134" s="12" t="s">
        <v>381</v>
      </c>
      <c r="B134" s="12" t="s">
        <v>397</v>
      </c>
      <c r="C134" s="12" t="s">
        <v>400</v>
      </c>
      <c r="D134" s="12" t="s">
        <v>76</v>
      </c>
      <c r="E134" s="12" t="s">
        <v>401</v>
      </c>
      <c r="F134" s="10">
        <v>33814</v>
      </c>
      <c r="G134" s="10">
        <v>9073</v>
      </c>
      <c r="H134" s="10">
        <v>1397</v>
      </c>
      <c r="N134" s="12" t="s">
        <v>131</v>
      </c>
    </row>
    <row r="135" spans="1:14" x14ac:dyDescent="0.3">
      <c r="A135" s="12" t="s">
        <v>381</v>
      </c>
      <c r="B135" s="12" t="s">
        <v>396</v>
      </c>
      <c r="C135" s="12" t="s">
        <v>399</v>
      </c>
      <c r="D135" s="12" t="s">
        <v>76</v>
      </c>
      <c r="E135" s="12" t="s">
        <v>87</v>
      </c>
      <c r="F135" s="10">
        <v>144722</v>
      </c>
      <c r="G135" s="10">
        <v>39174</v>
      </c>
      <c r="H135" s="10">
        <v>5664</v>
      </c>
      <c r="N135" s="12" t="s">
        <v>125</v>
      </c>
    </row>
    <row r="136" spans="1:14" x14ac:dyDescent="0.3">
      <c r="A136" s="12" t="s">
        <v>57</v>
      </c>
      <c r="B136" s="12" t="s">
        <v>60</v>
      </c>
      <c r="C136" s="9" t="s">
        <v>88</v>
      </c>
      <c r="D136" s="9" t="s">
        <v>76</v>
      </c>
      <c r="E136" s="9" t="s">
        <v>89</v>
      </c>
      <c r="F136" s="10">
        <v>94839</v>
      </c>
      <c r="G136" s="10">
        <v>19480</v>
      </c>
      <c r="H136" s="22">
        <v>5825</v>
      </c>
      <c r="N136" s="12" t="s">
        <v>105</v>
      </c>
    </row>
    <row r="137" spans="1:14" x14ac:dyDescent="0.3">
      <c r="A137" s="12" t="s">
        <v>128</v>
      </c>
      <c r="B137" s="12" t="s">
        <v>127</v>
      </c>
      <c r="C137" s="52" t="s">
        <v>212</v>
      </c>
      <c r="D137" s="12" t="s">
        <v>137</v>
      </c>
      <c r="E137" s="12" t="s">
        <v>95</v>
      </c>
      <c r="F137" s="21">
        <v>97664</v>
      </c>
      <c r="J137" s="18"/>
      <c r="N137" s="12" t="s">
        <v>125</v>
      </c>
    </row>
    <row r="138" spans="1:14" x14ac:dyDescent="0.3">
      <c r="A138" s="12" t="s">
        <v>126</v>
      </c>
      <c r="B138" s="12" t="s">
        <v>129</v>
      </c>
      <c r="C138" s="52" t="s">
        <v>212</v>
      </c>
      <c r="D138" s="12" t="s">
        <v>76</v>
      </c>
      <c r="E138" s="12" t="s">
        <v>95</v>
      </c>
      <c r="F138" s="18">
        <v>207716</v>
      </c>
      <c r="N138" s="12" t="s">
        <v>125</v>
      </c>
    </row>
    <row r="139" spans="1:14" x14ac:dyDescent="0.3">
      <c r="A139" s="12" t="s">
        <v>152</v>
      </c>
      <c r="B139" s="12" t="s">
        <v>163</v>
      </c>
      <c r="C139" s="52" t="s">
        <v>238</v>
      </c>
      <c r="D139" s="12" t="s">
        <v>171</v>
      </c>
      <c r="E139" s="12" t="s">
        <v>176</v>
      </c>
      <c r="F139" s="18">
        <v>134748</v>
      </c>
      <c r="G139" s="23"/>
      <c r="H139" s="23"/>
      <c r="I139" s="24"/>
      <c r="J139" s="24"/>
      <c r="K139" s="61"/>
      <c r="L139" s="27"/>
      <c r="M139" s="28"/>
      <c r="N139" s="12" t="s">
        <v>180</v>
      </c>
    </row>
    <row r="140" spans="1:14" x14ac:dyDescent="0.3">
      <c r="A140" s="12" t="s">
        <v>829</v>
      </c>
      <c r="B140" s="12" t="s">
        <v>830</v>
      </c>
      <c r="C140" s="60" t="s">
        <v>831</v>
      </c>
      <c r="D140" s="60" t="s">
        <v>94</v>
      </c>
      <c r="E140" s="73" t="s">
        <v>95</v>
      </c>
      <c r="F140" s="77">
        <v>193516</v>
      </c>
      <c r="G140" s="76">
        <v>40897</v>
      </c>
      <c r="H140" s="76">
        <v>6757</v>
      </c>
      <c r="I140" s="30"/>
      <c r="J140" s="18"/>
      <c r="K140" s="30"/>
      <c r="N140" s="12" t="s">
        <v>105</v>
      </c>
    </row>
    <row r="141" spans="1:14" x14ac:dyDescent="0.3">
      <c r="A141" s="9" t="s">
        <v>246</v>
      </c>
      <c r="B141" s="9" t="s">
        <v>195</v>
      </c>
      <c r="C141" s="52" t="s">
        <v>210</v>
      </c>
      <c r="D141" s="9" t="s">
        <v>76</v>
      </c>
      <c r="E141" s="9" t="s">
        <v>95</v>
      </c>
      <c r="F141" s="10">
        <v>73000</v>
      </c>
      <c r="G141" s="23"/>
      <c r="H141" s="23"/>
      <c r="I141" s="24"/>
      <c r="J141" s="24"/>
      <c r="K141" s="61"/>
      <c r="L141" s="27"/>
      <c r="M141" s="28"/>
      <c r="N141" s="12" t="s">
        <v>122</v>
      </c>
    </row>
    <row r="142" spans="1:14" x14ac:dyDescent="0.3">
      <c r="A142" s="12" t="s">
        <v>48</v>
      </c>
      <c r="B142" s="12" t="s">
        <v>49</v>
      </c>
      <c r="C142" s="52" t="s">
        <v>205</v>
      </c>
      <c r="D142" s="12" t="s">
        <v>137</v>
      </c>
      <c r="E142" s="12" t="s">
        <v>188</v>
      </c>
      <c r="F142" s="21">
        <v>74240</v>
      </c>
      <c r="N142" s="12" t="s">
        <v>125</v>
      </c>
    </row>
    <row r="143" spans="1:14" x14ac:dyDescent="0.3">
      <c r="A143" s="12" t="s">
        <v>481</v>
      </c>
      <c r="B143" s="12" t="s">
        <v>515</v>
      </c>
      <c r="C143" s="12" t="s">
        <v>513</v>
      </c>
      <c r="D143" s="12" t="s">
        <v>76</v>
      </c>
      <c r="E143" s="12" t="s">
        <v>516</v>
      </c>
      <c r="F143" s="18">
        <v>57880</v>
      </c>
      <c r="G143" s="30">
        <v>13453</v>
      </c>
      <c r="H143" s="30">
        <v>1792</v>
      </c>
      <c r="N143" s="12" t="s">
        <v>307</v>
      </c>
    </row>
    <row r="144" spans="1:14" x14ac:dyDescent="0.3">
      <c r="A144" s="12" t="s">
        <v>481</v>
      </c>
      <c r="B144" s="12" t="s">
        <v>514</v>
      </c>
      <c r="C144" s="12" t="s">
        <v>513</v>
      </c>
      <c r="D144" s="12" t="s">
        <v>76</v>
      </c>
      <c r="E144" s="12" t="s">
        <v>516</v>
      </c>
      <c r="F144" s="18">
        <v>34819</v>
      </c>
      <c r="G144" s="30">
        <v>7706</v>
      </c>
      <c r="H144" s="30">
        <v>1400</v>
      </c>
      <c r="N144" s="12" t="s">
        <v>307</v>
      </c>
    </row>
    <row r="145" spans="1:14" x14ac:dyDescent="0.3">
      <c r="A145" s="12" t="s">
        <v>481</v>
      </c>
      <c r="B145" s="12" t="s">
        <v>512</v>
      </c>
      <c r="C145" s="12" t="s">
        <v>513</v>
      </c>
      <c r="D145" s="12" t="s">
        <v>76</v>
      </c>
      <c r="E145" s="12" t="s">
        <v>516</v>
      </c>
      <c r="F145" s="18">
        <v>29179</v>
      </c>
      <c r="G145" s="30">
        <v>6497</v>
      </c>
      <c r="H145" s="30">
        <v>1597</v>
      </c>
      <c r="N145" s="12" t="s">
        <v>307</v>
      </c>
    </row>
    <row r="146" spans="1:14" x14ac:dyDescent="0.3">
      <c r="A146" s="12" t="s">
        <v>479</v>
      </c>
      <c r="B146" s="12" t="s">
        <v>508</v>
      </c>
      <c r="C146" s="12" t="s">
        <v>509</v>
      </c>
      <c r="D146" s="12" t="s">
        <v>94</v>
      </c>
      <c r="E146" s="12" t="s">
        <v>185</v>
      </c>
      <c r="F146" s="10">
        <v>68155</v>
      </c>
      <c r="G146" s="10">
        <v>17105</v>
      </c>
      <c r="H146" s="10">
        <v>4022</v>
      </c>
      <c r="N146" s="12" t="s">
        <v>510</v>
      </c>
    </row>
    <row r="147" spans="1:14" x14ac:dyDescent="0.3">
      <c r="A147" s="12" t="s">
        <v>117</v>
      </c>
      <c r="B147" s="12" t="s">
        <v>119</v>
      </c>
      <c r="C147" s="9" t="s">
        <v>120</v>
      </c>
      <c r="D147" s="9" t="s">
        <v>110</v>
      </c>
      <c r="E147" s="9" t="s">
        <v>121</v>
      </c>
      <c r="F147" s="10">
        <v>38792</v>
      </c>
      <c r="G147" s="10">
        <v>7712</v>
      </c>
      <c r="H147" s="22">
        <v>1776</v>
      </c>
      <c r="N147" s="12" t="s">
        <v>122</v>
      </c>
    </row>
    <row r="148" spans="1:14" x14ac:dyDescent="0.3">
      <c r="A148" s="12" t="s">
        <v>116</v>
      </c>
      <c r="B148" s="12" t="s">
        <v>118</v>
      </c>
      <c r="C148" s="9" t="s">
        <v>120</v>
      </c>
      <c r="D148" s="9" t="s">
        <v>110</v>
      </c>
      <c r="E148" s="9" t="s">
        <v>121</v>
      </c>
      <c r="F148" s="10">
        <v>120619</v>
      </c>
      <c r="G148" s="22">
        <v>26855</v>
      </c>
      <c r="H148" s="22">
        <v>6524</v>
      </c>
      <c r="N148" s="12" t="s">
        <v>122</v>
      </c>
    </row>
    <row r="149" spans="1:14" x14ac:dyDescent="0.3">
      <c r="A149" s="12" t="s">
        <v>153</v>
      </c>
      <c r="B149" s="12" t="s">
        <v>164</v>
      </c>
      <c r="C149" s="52" t="s">
        <v>204</v>
      </c>
      <c r="D149" s="12" t="s">
        <v>172</v>
      </c>
      <c r="E149" s="12" t="s">
        <v>177</v>
      </c>
      <c r="F149" s="18">
        <v>77440</v>
      </c>
      <c r="G149" s="23"/>
      <c r="H149" s="23"/>
      <c r="I149" s="24"/>
      <c r="J149" s="24"/>
      <c r="K149" s="61"/>
      <c r="L149" s="27"/>
      <c r="M149" s="28"/>
      <c r="N149" s="12" t="s">
        <v>179</v>
      </c>
    </row>
    <row r="150" spans="1:14" x14ac:dyDescent="0.3">
      <c r="A150" s="12" t="s">
        <v>433</v>
      </c>
      <c r="B150" s="12" t="s">
        <v>444</v>
      </c>
      <c r="C150" s="12" t="s">
        <v>445</v>
      </c>
      <c r="D150" s="12" t="s">
        <v>76</v>
      </c>
      <c r="E150" s="12" t="s">
        <v>145</v>
      </c>
      <c r="F150" s="10">
        <v>197942</v>
      </c>
      <c r="G150" s="10">
        <v>41896</v>
      </c>
      <c r="H150" s="10">
        <v>8186</v>
      </c>
      <c r="N150" s="12" t="s">
        <v>307</v>
      </c>
    </row>
    <row r="151" spans="1:14" x14ac:dyDescent="0.3">
      <c r="A151" s="12" t="s">
        <v>442</v>
      </c>
      <c r="B151" s="12" t="s">
        <v>470</v>
      </c>
      <c r="C151" s="56" t="s">
        <v>471</v>
      </c>
      <c r="D151" s="12" t="s">
        <v>311</v>
      </c>
      <c r="E151" s="12" t="s">
        <v>79</v>
      </c>
      <c r="F151" s="10">
        <v>88028</v>
      </c>
      <c r="G151" s="10">
        <v>16012</v>
      </c>
      <c r="H151" s="10">
        <v>3431</v>
      </c>
      <c r="N151" s="12" t="s">
        <v>307</v>
      </c>
    </row>
    <row r="152" spans="1:14" x14ac:dyDescent="0.3">
      <c r="A152" s="12" t="s">
        <v>23</v>
      </c>
      <c r="B152" s="12" t="s">
        <v>18</v>
      </c>
      <c r="C152" s="12" t="s">
        <v>240</v>
      </c>
      <c r="D152" s="12" t="s">
        <v>76</v>
      </c>
      <c r="E152" s="12" t="s">
        <v>145</v>
      </c>
      <c r="F152" s="18">
        <v>94484</v>
      </c>
      <c r="N152" s="12" t="s">
        <v>144</v>
      </c>
    </row>
    <row r="153" spans="1:14" x14ac:dyDescent="0.3">
      <c r="A153" s="12" t="s">
        <v>292</v>
      </c>
      <c r="B153" s="12" t="s">
        <v>293</v>
      </c>
      <c r="C153" s="12" t="s">
        <v>294</v>
      </c>
      <c r="D153" s="12" t="s">
        <v>76</v>
      </c>
      <c r="E153" s="12" t="s">
        <v>295</v>
      </c>
      <c r="F153" s="10">
        <v>74336</v>
      </c>
      <c r="G153" s="10">
        <v>18138</v>
      </c>
      <c r="H153" s="10">
        <v>4101</v>
      </c>
      <c r="N153" s="12" t="s">
        <v>105</v>
      </c>
    </row>
    <row r="154" spans="1:14" x14ac:dyDescent="0.3">
      <c r="A154" s="12" t="s">
        <v>30</v>
      </c>
      <c r="B154" s="12" t="s">
        <v>31</v>
      </c>
      <c r="C154" s="9" t="s">
        <v>78</v>
      </c>
      <c r="D154" s="9" t="s">
        <v>76</v>
      </c>
      <c r="E154" s="9" t="s">
        <v>79</v>
      </c>
      <c r="F154" s="10">
        <v>28515</v>
      </c>
      <c r="N154" s="12" t="s">
        <v>122</v>
      </c>
    </row>
    <row r="155" spans="1:14" x14ac:dyDescent="0.3">
      <c r="A155" s="12" t="s">
        <v>441</v>
      </c>
      <c r="B155" s="12" t="s">
        <v>467</v>
      </c>
      <c r="C155" s="12" t="s">
        <v>468</v>
      </c>
      <c r="D155" s="12" t="s">
        <v>76</v>
      </c>
      <c r="E155" s="12" t="s">
        <v>469</v>
      </c>
      <c r="F155" s="10">
        <v>78974</v>
      </c>
      <c r="G155" s="10">
        <v>16560</v>
      </c>
      <c r="H155" s="10">
        <v>3648</v>
      </c>
      <c r="N155" s="12" t="s">
        <v>307</v>
      </c>
    </row>
    <row r="156" spans="1:14" x14ac:dyDescent="0.3">
      <c r="A156" s="12" t="s">
        <v>842</v>
      </c>
      <c r="B156" s="12" t="s">
        <v>843</v>
      </c>
      <c r="C156" s="60" t="s">
        <v>844</v>
      </c>
      <c r="D156" s="12" t="s">
        <v>473</v>
      </c>
      <c r="E156" s="12" t="s">
        <v>845</v>
      </c>
      <c r="F156" s="10">
        <v>83249</v>
      </c>
      <c r="G156" s="10">
        <v>15945</v>
      </c>
      <c r="H156" s="10">
        <v>4022</v>
      </c>
      <c r="N156" s="12" t="s">
        <v>105</v>
      </c>
    </row>
    <row r="157" spans="1:14" x14ac:dyDescent="0.3">
      <c r="A157" s="12" t="s">
        <v>391</v>
      </c>
      <c r="B157" s="12" t="s">
        <v>429</v>
      </c>
      <c r="C157" s="57" t="s">
        <v>430</v>
      </c>
      <c r="D157" s="12" t="s">
        <v>103</v>
      </c>
      <c r="E157" s="12" t="s">
        <v>79</v>
      </c>
      <c r="F157" s="18">
        <v>79101</v>
      </c>
      <c r="J157" s="18"/>
      <c r="N157" s="12" t="s">
        <v>328</v>
      </c>
    </row>
    <row r="158" spans="1:14" x14ac:dyDescent="0.3">
      <c r="A158" s="12" t="s">
        <v>155</v>
      </c>
      <c r="B158" s="12" t="s">
        <v>165</v>
      </c>
      <c r="C158" s="52" t="s">
        <v>229</v>
      </c>
      <c r="D158" s="12" t="s">
        <v>172</v>
      </c>
      <c r="F158" s="18">
        <v>92532</v>
      </c>
      <c r="G158" s="23"/>
      <c r="H158" s="23"/>
      <c r="I158" s="24"/>
      <c r="J158" s="24"/>
      <c r="K158" s="61"/>
      <c r="L158" s="27"/>
      <c r="M158" s="28"/>
      <c r="N158" s="12" t="s">
        <v>180</v>
      </c>
    </row>
    <row r="159" spans="1:14" x14ac:dyDescent="0.3">
      <c r="A159" s="12" t="s">
        <v>156</v>
      </c>
      <c r="B159" s="12" t="s">
        <v>166</v>
      </c>
      <c r="C159" s="52" t="s">
        <v>229</v>
      </c>
      <c r="D159" s="12" t="s">
        <v>172</v>
      </c>
      <c r="F159" s="18">
        <v>137624</v>
      </c>
      <c r="G159" s="23"/>
      <c r="H159" s="23"/>
      <c r="I159" s="24"/>
      <c r="J159" s="24"/>
      <c r="K159" s="61"/>
      <c r="L159" s="27"/>
      <c r="M159" s="28"/>
      <c r="N159" s="12" t="s">
        <v>182</v>
      </c>
    </row>
    <row r="160" spans="1:14" x14ac:dyDescent="0.3">
      <c r="A160" s="12" t="s">
        <v>839</v>
      </c>
      <c r="B160" s="12" t="s">
        <v>840</v>
      </c>
      <c r="C160" s="12" t="s">
        <v>841</v>
      </c>
      <c r="D160" s="12" t="s">
        <v>473</v>
      </c>
      <c r="E160" s="12" t="s">
        <v>79</v>
      </c>
      <c r="F160" s="10">
        <v>121011</v>
      </c>
      <c r="G160" s="10">
        <v>19539</v>
      </c>
      <c r="H160" s="10">
        <v>5537</v>
      </c>
      <c r="N160" s="12" t="s">
        <v>806</v>
      </c>
    </row>
    <row r="161" spans="1:14" x14ac:dyDescent="0.3">
      <c r="A161" s="12" t="s">
        <v>34</v>
      </c>
      <c r="B161" s="12" t="s">
        <v>35</v>
      </c>
      <c r="C161" s="52" t="s">
        <v>244</v>
      </c>
      <c r="D161" s="12" t="s">
        <v>94</v>
      </c>
      <c r="E161" s="12" t="s">
        <v>147</v>
      </c>
      <c r="F161" s="18">
        <v>78230</v>
      </c>
      <c r="J161" s="18"/>
      <c r="N161" s="12" t="s">
        <v>143</v>
      </c>
    </row>
    <row r="162" spans="1:14" x14ac:dyDescent="0.3">
      <c r="A162" s="12" t="s">
        <v>812</v>
      </c>
      <c r="B162" s="12" t="s">
        <v>813</v>
      </c>
      <c r="C162" s="12" t="s">
        <v>814</v>
      </c>
      <c r="D162" s="12" t="s">
        <v>76</v>
      </c>
      <c r="E162" s="12" t="s">
        <v>146</v>
      </c>
      <c r="F162" s="10">
        <v>50000</v>
      </c>
      <c r="G162" s="10">
        <v>10325</v>
      </c>
      <c r="H162" s="10">
        <v>2550</v>
      </c>
      <c r="I162" s="30"/>
      <c r="K162" s="30"/>
      <c r="N162" s="12" t="s">
        <v>125</v>
      </c>
    </row>
    <row r="163" spans="1:14" x14ac:dyDescent="0.3">
      <c r="A163" s="12" t="s">
        <v>36</v>
      </c>
      <c r="B163" s="12" t="s">
        <v>37</v>
      </c>
      <c r="C163" s="12" t="s">
        <v>223</v>
      </c>
      <c r="D163" s="12" t="s">
        <v>103</v>
      </c>
      <c r="E163" s="12" t="s">
        <v>141</v>
      </c>
      <c r="F163" s="21">
        <v>213000</v>
      </c>
      <c r="N163" s="12" t="s">
        <v>122</v>
      </c>
    </row>
    <row r="164" spans="1:14" x14ac:dyDescent="0.3">
      <c r="A164" s="12" t="s">
        <v>493</v>
      </c>
      <c r="B164" s="12" t="s">
        <v>496</v>
      </c>
      <c r="C164" s="12" t="s">
        <v>533</v>
      </c>
      <c r="D164" s="12" t="s">
        <v>534</v>
      </c>
      <c r="E164" s="12" t="s">
        <v>535</v>
      </c>
      <c r="F164" s="18">
        <v>133795</v>
      </c>
      <c r="G164" s="18">
        <v>26110</v>
      </c>
      <c r="H164" s="18">
        <v>5120</v>
      </c>
      <c r="N164" s="12" t="s">
        <v>536</v>
      </c>
    </row>
    <row r="165" spans="1:14" x14ac:dyDescent="0.3">
      <c r="A165" s="12" t="s">
        <v>493</v>
      </c>
      <c r="B165" s="12" t="s">
        <v>495</v>
      </c>
      <c r="C165" s="12" t="s">
        <v>533</v>
      </c>
      <c r="D165" s="12" t="s">
        <v>534</v>
      </c>
      <c r="E165" s="12" t="s">
        <v>535</v>
      </c>
      <c r="F165" s="18">
        <v>134260</v>
      </c>
      <c r="N165" s="12" t="s">
        <v>536</v>
      </c>
    </row>
    <row r="166" spans="1:14" x14ac:dyDescent="0.3">
      <c r="A166" s="12" t="s">
        <v>489</v>
      </c>
      <c r="B166" s="12" t="s">
        <v>539</v>
      </c>
      <c r="C166" s="12" t="s">
        <v>540</v>
      </c>
      <c r="D166" s="12" t="s">
        <v>311</v>
      </c>
      <c r="E166" s="12" t="s">
        <v>79</v>
      </c>
      <c r="F166" s="18">
        <v>102297</v>
      </c>
      <c r="G166" s="30">
        <v>20634</v>
      </c>
      <c r="H166" s="30">
        <v>3934</v>
      </c>
      <c r="J166" s="18"/>
      <c r="N166" s="12" t="s">
        <v>122</v>
      </c>
    </row>
    <row r="167" spans="1:14" x14ac:dyDescent="0.3">
      <c r="A167" s="12" t="s">
        <v>329</v>
      </c>
      <c r="B167" s="12" t="s">
        <v>330</v>
      </c>
      <c r="C167" s="12" t="s">
        <v>331</v>
      </c>
      <c r="D167" s="12" t="s">
        <v>76</v>
      </c>
      <c r="E167" s="12" t="s">
        <v>145</v>
      </c>
      <c r="F167" s="18">
        <v>245320</v>
      </c>
      <c r="G167" s="30">
        <v>40538</v>
      </c>
      <c r="H167" s="30">
        <v>9872</v>
      </c>
      <c r="N167" s="12" t="s">
        <v>125</v>
      </c>
    </row>
    <row r="168" spans="1:14" x14ac:dyDescent="0.3">
      <c r="A168" s="12" t="s">
        <v>818</v>
      </c>
      <c r="B168" s="12" t="s">
        <v>819</v>
      </c>
      <c r="C168" s="54" t="s">
        <v>821</v>
      </c>
      <c r="D168" s="54" t="s">
        <v>820</v>
      </c>
      <c r="E168" s="54" t="s">
        <v>107</v>
      </c>
      <c r="F168" s="55">
        <v>55338</v>
      </c>
      <c r="G168" s="55">
        <v>8629</v>
      </c>
      <c r="H168" s="72">
        <v>2253</v>
      </c>
      <c r="I168" s="30"/>
      <c r="K168" s="30"/>
      <c r="N168" s="12" t="s">
        <v>822</v>
      </c>
    </row>
    <row r="169" spans="1:14" x14ac:dyDescent="0.3">
      <c r="A169" s="12" t="s">
        <v>828</v>
      </c>
      <c r="B169" s="12" t="s">
        <v>833</v>
      </c>
      <c r="C169" s="12" t="s">
        <v>838</v>
      </c>
      <c r="D169" s="54" t="s">
        <v>76</v>
      </c>
      <c r="E169" s="54" t="s">
        <v>360</v>
      </c>
      <c r="F169" s="55">
        <v>21938</v>
      </c>
      <c r="G169" s="55">
        <v>3404</v>
      </c>
      <c r="H169" s="72">
        <v>1825</v>
      </c>
      <c r="I169" s="30"/>
      <c r="K169" s="30"/>
      <c r="N169" s="12" t="s">
        <v>125</v>
      </c>
    </row>
    <row r="170" spans="1:14" x14ac:dyDescent="0.3">
      <c r="A170" s="12" t="s">
        <v>828</v>
      </c>
      <c r="B170" s="12" t="s">
        <v>832</v>
      </c>
      <c r="C170" s="12" t="s">
        <v>838</v>
      </c>
      <c r="D170" s="54" t="s">
        <v>76</v>
      </c>
      <c r="E170" s="54" t="s">
        <v>360</v>
      </c>
      <c r="F170" s="18">
        <v>21684</v>
      </c>
      <c r="N170" s="12" t="s">
        <v>125</v>
      </c>
    </row>
    <row r="171" spans="1:14" x14ac:dyDescent="0.3">
      <c r="A171" s="12" t="s">
        <v>437</v>
      </c>
      <c r="B171" s="12" t="s">
        <v>454</v>
      </c>
      <c r="C171" s="12" t="s">
        <v>452</v>
      </c>
      <c r="D171" s="12" t="s">
        <v>76</v>
      </c>
      <c r="E171" s="12" t="s">
        <v>453</v>
      </c>
      <c r="F171" s="10">
        <v>118533</v>
      </c>
      <c r="G171" s="10">
        <v>27488</v>
      </c>
      <c r="H171" s="10">
        <v>3870</v>
      </c>
      <c r="N171" s="12" t="s">
        <v>423</v>
      </c>
    </row>
    <row r="172" spans="1:14" x14ac:dyDescent="0.3">
      <c r="A172" s="12" t="s">
        <v>815</v>
      </c>
      <c r="B172" s="12" t="s">
        <v>816</v>
      </c>
      <c r="C172" s="54" t="s">
        <v>817</v>
      </c>
      <c r="D172" s="54" t="s">
        <v>103</v>
      </c>
      <c r="E172" s="54" t="s">
        <v>81</v>
      </c>
      <c r="F172" s="55">
        <v>153522</v>
      </c>
      <c r="G172" s="78"/>
      <c r="H172" s="78"/>
      <c r="I172" s="78"/>
      <c r="J172" s="55"/>
      <c r="K172" s="78"/>
      <c r="N172" s="12" t="s">
        <v>122</v>
      </c>
    </row>
    <row r="173" spans="1:14" x14ac:dyDescent="0.3">
      <c r="A173" s="12" t="s">
        <v>486</v>
      </c>
      <c r="B173" s="12" t="s">
        <v>526</v>
      </c>
      <c r="C173" s="12" t="s">
        <v>527</v>
      </c>
      <c r="D173" s="12" t="s">
        <v>76</v>
      </c>
      <c r="E173" s="12" t="s">
        <v>145</v>
      </c>
      <c r="F173" s="10">
        <v>154398</v>
      </c>
      <c r="G173" s="10">
        <v>31291</v>
      </c>
      <c r="H173" s="10">
        <v>7572</v>
      </c>
      <c r="N173" s="12" t="s">
        <v>122</v>
      </c>
    </row>
    <row r="174" spans="1:14" x14ac:dyDescent="0.3">
      <c r="A174" s="12" t="s">
        <v>332</v>
      </c>
      <c r="B174" s="12" t="s">
        <v>333</v>
      </c>
      <c r="C174" s="12" t="s">
        <v>334</v>
      </c>
      <c r="D174" s="12" t="s">
        <v>76</v>
      </c>
      <c r="E174" s="12" t="s">
        <v>145</v>
      </c>
      <c r="F174" s="10">
        <v>67716</v>
      </c>
      <c r="G174" s="10">
        <v>15510</v>
      </c>
      <c r="H174" s="10">
        <v>2100</v>
      </c>
      <c r="N174" s="12" t="s">
        <v>190</v>
      </c>
    </row>
    <row r="175" spans="1:14" x14ac:dyDescent="0.3">
      <c r="A175" s="12" t="s">
        <v>438</v>
      </c>
      <c r="B175" s="12" t="s">
        <v>458</v>
      </c>
      <c r="C175" s="12" t="s">
        <v>456</v>
      </c>
      <c r="E175" s="12" t="s">
        <v>457</v>
      </c>
      <c r="F175" s="10">
        <v>85518</v>
      </c>
      <c r="G175" s="10">
        <v>18260</v>
      </c>
      <c r="H175" s="10">
        <v>4048</v>
      </c>
      <c r="N175" s="12" t="s">
        <v>307</v>
      </c>
    </row>
    <row r="176" spans="1:14" x14ac:dyDescent="0.3">
      <c r="A176" s="12" t="s">
        <v>860</v>
      </c>
      <c r="B176" s="12" t="s">
        <v>861</v>
      </c>
      <c r="C176" s="12" t="s">
        <v>864</v>
      </c>
      <c r="E176" s="12" t="s">
        <v>862</v>
      </c>
      <c r="F176" s="10"/>
      <c r="G176" s="79"/>
      <c r="H176" s="79"/>
      <c r="I176" s="79"/>
      <c r="J176" s="10"/>
      <c r="K176" s="79"/>
      <c r="N176" s="12" t="s">
        <v>863</v>
      </c>
    </row>
    <row r="177" spans="1:14" x14ac:dyDescent="0.3">
      <c r="A177" s="12" t="s">
        <v>344</v>
      </c>
      <c r="B177" s="12" t="s">
        <v>345</v>
      </c>
      <c r="C177" s="12" t="s">
        <v>346</v>
      </c>
      <c r="E177" s="12" t="s">
        <v>347</v>
      </c>
      <c r="F177" s="18">
        <v>44112</v>
      </c>
      <c r="G177" s="30">
        <v>7777</v>
      </c>
      <c r="H177" s="30">
        <v>4836</v>
      </c>
      <c r="N177" s="12" t="s">
        <v>131</v>
      </c>
    </row>
    <row r="178" spans="1:14" x14ac:dyDescent="0.3">
      <c r="A178" s="12" t="s">
        <v>389</v>
      </c>
      <c r="B178" s="12" t="s">
        <v>421</v>
      </c>
      <c r="C178" s="12" t="s">
        <v>422</v>
      </c>
      <c r="E178" s="12" t="s">
        <v>867</v>
      </c>
      <c r="F178" s="10">
        <v>37220</v>
      </c>
      <c r="G178" s="10">
        <v>7156</v>
      </c>
      <c r="H178" s="10">
        <v>2512</v>
      </c>
      <c r="N178" s="12" t="s">
        <v>423</v>
      </c>
    </row>
    <row r="179" spans="1:14" x14ac:dyDescent="0.3">
      <c r="F179" s="10"/>
      <c r="G179" s="10"/>
      <c r="H179" s="10"/>
    </row>
    <row r="180" spans="1:14" x14ac:dyDescent="0.3">
      <c r="D180" s="54"/>
      <c r="E180" s="54"/>
      <c r="F180" s="17"/>
    </row>
    <row r="181" spans="1:14" x14ac:dyDescent="0.3">
      <c r="D181" s="54"/>
      <c r="E181" s="54"/>
      <c r="F181" s="17"/>
    </row>
    <row r="182" spans="1:14" x14ac:dyDescent="0.3">
      <c r="D182" s="54"/>
      <c r="E182" s="54"/>
      <c r="F182" s="17"/>
    </row>
    <row r="183" spans="1:14" x14ac:dyDescent="0.3">
      <c r="F183" s="17"/>
    </row>
    <row r="184" spans="1:14" x14ac:dyDescent="0.3">
      <c r="F184" s="17"/>
      <c r="K184" s="17"/>
    </row>
    <row r="185" spans="1:14" x14ac:dyDescent="0.3">
      <c r="F185" s="17"/>
    </row>
    <row r="187" spans="1:14" x14ac:dyDescent="0.3">
      <c r="F187" s="17"/>
      <c r="J187" s="18"/>
      <c r="N187" s="17"/>
    </row>
    <row r="188" spans="1:14" x14ac:dyDescent="0.3">
      <c r="F188" s="17"/>
      <c r="H188" s="17"/>
      <c r="I188" s="17"/>
      <c r="J188" s="18"/>
    </row>
    <row r="189" spans="1:14" x14ac:dyDescent="0.3">
      <c r="J189" s="18"/>
    </row>
    <row r="190" spans="1:14" x14ac:dyDescent="0.3">
      <c r="J190" s="18"/>
    </row>
    <row r="191" spans="1:14" x14ac:dyDescent="0.3">
      <c r="H191" s="17"/>
      <c r="I191" s="17"/>
    </row>
    <row r="201" spans="6:9" x14ac:dyDescent="0.3">
      <c r="G201" s="17"/>
    </row>
    <row r="202" spans="6:9" x14ac:dyDescent="0.3">
      <c r="F202" s="17"/>
      <c r="G202" s="17"/>
    </row>
    <row r="203" spans="6:9" x14ac:dyDescent="0.3">
      <c r="G203" s="17"/>
    </row>
    <row r="204" spans="6:9" x14ac:dyDescent="0.3">
      <c r="G204" s="17"/>
    </row>
    <row r="205" spans="6:9" x14ac:dyDescent="0.3">
      <c r="G205" s="17"/>
      <c r="I205" s="17"/>
    </row>
    <row r="208" spans="6:9" x14ac:dyDescent="0.3">
      <c r="G208" s="17"/>
    </row>
    <row r="209" spans="7:9" x14ac:dyDescent="0.3">
      <c r="G209" s="17"/>
    </row>
    <row r="210" spans="7:9" x14ac:dyDescent="0.3">
      <c r="G210" s="17"/>
    </row>
    <row r="211" spans="7:9" x14ac:dyDescent="0.3">
      <c r="G211" s="17"/>
    </row>
    <row r="212" spans="7:9" x14ac:dyDescent="0.3">
      <c r="G212" s="17"/>
    </row>
    <row r="213" spans="7:9" x14ac:dyDescent="0.3">
      <c r="G213" s="17"/>
      <c r="I213" s="17"/>
    </row>
    <row r="214" spans="7:9" x14ac:dyDescent="0.3">
      <c r="G214" s="17"/>
    </row>
    <row r="215" spans="7:9" x14ac:dyDescent="0.3">
      <c r="G215" s="17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AE195-C326-4639-ADBE-0A0C34F08E09}">
  <dimension ref="A1:E2"/>
  <sheetViews>
    <sheetView tabSelected="1" workbookViewId="0">
      <selection activeCell="C8" sqref="C8"/>
    </sheetView>
  </sheetViews>
  <sheetFormatPr defaultRowHeight="16.5" x14ac:dyDescent="0.3"/>
  <cols>
    <col min="1" max="1" width="23" bestFit="1" customWidth="1"/>
    <col min="2" max="2" width="23.125" bestFit="1" customWidth="1"/>
    <col min="3" max="3" width="23.125" customWidth="1"/>
    <col min="4" max="4" width="14.375" bestFit="1" customWidth="1"/>
    <col min="5" max="5" width="9.875" bestFit="1" customWidth="1"/>
  </cols>
  <sheetData>
    <row r="1" spans="1:5" x14ac:dyDescent="0.3">
      <c r="A1" t="s">
        <v>875</v>
      </c>
      <c r="B1" t="s">
        <v>876</v>
      </c>
      <c r="C1" t="s">
        <v>878</v>
      </c>
      <c r="D1" t="s">
        <v>877</v>
      </c>
      <c r="E1" t="s">
        <v>873</v>
      </c>
    </row>
    <row r="2" spans="1:5" x14ac:dyDescent="0.3">
      <c r="A2" s="71">
        <v>428087</v>
      </c>
      <c r="B2" s="71">
        <v>2048876</v>
      </c>
      <c r="C2" s="71">
        <f>SUM(A1:B2)</f>
        <v>2476963</v>
      </c>
      <c r="D2" s="71">
        <f>C2/5280</f>
        <v>469.12178030303028</v>
      </c>
      <c r="E2" s="71">
        <f>SUM(SBC!F2:F1048576)</f>
        <v>15605234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4C970-5C0C-47C0-B795-FF2423801463}">
  <sheetPr codeName="Sheet3"/>
  <dimension ref="A1:N132"/>
  <sheetViews>
    <sheetView zoomScale="85" zoomScaleNormal="85" workbookViewId="0">
      <pane ySplit="1" topLeftCell="A60" activePane="bottomLeft" state="frozen"/>
      <selection pane="bottomLeft" activeCell="G118" sqref="G118"/>
    </sheetView>
  </sheetViews>
  <sheetFormatPr defaultRowHeight="16.5" x14ac:dyDescent="0.3"/>
  <cols>
    <col min="1" max="1" width="22.5" customWidth="1"/>
    <col min="2" max="2" width="29.75" customWidth="1"/>
    <col min="3" max="3" width="56.25" customWidth="1"/>
    <col min="4" max="4" width="17.375" customWidth="1"/>
    <col min="5" max="5" width="26.875" customWidth="1"/>
    <col min="6" max="6" width="13.25" customWidth="1"/>
    <col min="7" max="7" width="13.5" customWidth="1"/>
    <col min="8" max="8" width="12.625" customWidth="1"/>
    <col min="9" max="9" width="11.375" customWidth="1"/>
    <col min="10" max="10" width="14.625" customWidth="1"/>
    <col min="11" max="11" width="18.5" customWidth="1"/>
    <col min="14" max="14" width="35.25" customWidth="1"/>
    <col min="16" max="16" width="9.25" customWidth="1"/>
    <col min="17" max="17" width="24.375" customWidth="1"/>
  </cols>
  <sheetData>
    <row r="1" spans="1:14" ht="3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4" t="s">
        <v>9</v>
      </c>
      <c r="K1" s="5" t="s">
        <v>10</v>
      </c>
      <c r="L1" s="6" t="s">
        <v>11</v>
      </c>
      <c r="M1" s="7" t="s">
        <v>12</v>
      </c>
      <c r="N1" s="8" t="s">
        <v>13</v>
      </c>
    </row>
    <row r="2" spans="1:14" x14ac:dyDescent="0.3">
      <c r="A2" s="45"/>
      <c r="B2" s="45"/>
      <c r="C2" s="89"/>
      <c r="D2" s="89"/>
      <c r="E2" s="89"/>
      <c r="F2" s="53"/>
      <c r="G2" s="46"/>
      <c r="H2" s="46"/>
      <c r="I2" s="47"/>
      <c r="J2" s="48"/>
      <c r="K2" s="49"/>
      <c r="L2" s="50"/>
      <c r="M2" s="51"/>
      <c r="N2" s="13"/>
    </row>
    <row r="3" spans="1:14" x14ac:dyDescent="0.3">
      <c r="A3" s="14" t="s">
        <v>545</v>
      </c>
      <c r="B3" s="14" t="s">
        <v>546</v>
      </c>
      <c r="C3" s="14" t="s">
        <v>788</v>
      </c>
      <c r="D3" s="14" t="s">
        <v>836</v>
      </c>
      <c r="E3" s="14" t="s">
        <v>469</v>
      </c>
      <c r="F3" s="31"/>
      <c r="G3" s="31"/>
      <c r="H3" s="31"/>
      <c r="I3" s="32"/>
      <c r="J3" s="33"/>
      <c r="K3" s="34"/>
      <c r="L3" s="35"/>
      <c r="M3" s="36"/>
      <c r="N3" s="37"/>
    </row>
    <row r="4" spans="1:14" s="12" customFormat="1" x14ac:dyDescent="0.3">
      <c r="A4" s="9" t="s">
        <v>549</v>
      </c>
      <c r="B4" s="9" t="s">
        <v>789</v>
      </c>
      <c r="C4" s="9" t="s">
        <v>790</v>
      </c>
      <c r="D4" s="9"/>
      <c r="E4" s="9" t="s">
        <v>548</v>
      </c>
      <c r="F4" s="23"/>
      <c r="G4" s="23"/>
      <c r="H4" s="23"/>
      <c r="I4" s="24"/>
      <c r="J4" s="25"/>
      <c r="K4" s="61"/>
      <c r="L4" s="27"/>
      <c r="M4" s="28"/>
    </row>
    <row r="5" spans="1:14" s="12" customFormat="1" x14ac:dyDescent="0.3">
      <c r="A5" s="9" t="s">
        <v>549</v>
      </c>
      <c r="B5" s="9" t="s">
        <v>779</v>
      </c>
      <c r="C5" s="9" t="s">
        <v>780</v>
      </c>
      <c r="D5" s="9" t="s">
        <v>547</v>
      </c>
      <c r="E5" s="9" t="s">
        <v>778</v>
      </c>
      <c r="F5" s="23"/>
      <c r="G5" s="23"/>
      <c r="H5" s="23"/>
      <c r="I5" s="24"/>
      <c r="J5" s="25"/>
      <c r="K5" s="61"/>
      <c r="L5" s="27"/>
      <c r="M5" s="28"/>
    </row>
    <row r="6" spans="1:14" s="12" customFormat="1" x14ac:dyDescent="0.3">
      <c r="A6" s="12" t="s">
        <v>550</v>
      </c>
      <c r="B6" s="12" t="s">
        <v>551</v>
      </c>
      <c r="D6" s="12" t="s">
        <v>560</v>
      </c>
      <c r="E6" s="12" t="s">
        <v>113</v>
      </c>
    </row>
    <row r="7" spans="1:14" s="12" customFormat="1" x14ac:dyDescent="0.3">
      <c r="A7" s="12" t="s">
        <v>552</v>
      </c>
      <c r="B7" s="12" t="s">
        <v>553</v>
      </c>
    </row>
    <row r="8" spans="1:14" s="12" customFormat="1" x14ac:dyDescent="0.3">
      <c r="A8" s="9" t="s">
        <v>554</v>
      </c>
      <c r="B8" s="9" t="s">
        <v>555</v>
      </c>
      <c r="C8" s="9" t="s">
        <v>561</v>
      </c>
      <c r="D8" s="9"/>
      <c r="E8" s="9" t="s">
        <v>89</v>
      </c>
      <c r="F8" s="10">
        <v>249862</v>
      </c>
      <c r="G8" s="23"/>
      <c r="H8" s="23"/>
      <c r="I8" s="24"/>
      <c r="J8" s="25"/>
      <c r="K8" s="61"/>
      <c r="L8" s="27"/>
      <c r="M8" s="28"/>
    </row>
    <row r="9" spans="1:14" x14ac:dyDescent="0.3">
      <c r="A9" s="45"/>
      <c r="B9" s="45"/>
      <c r="C9" s="89" t="s">
        <v>556</v>
      </c>
      <c r="D9" s="89"/>
      <c r="E9" s="89"/>
      <c r="F9" s="53">
        <f>SUM(F3:F8)</f>
        <v>249862</v>
      </c>
      <c r="G9" s="46"/>
      <c r="H9" s="46"/>
      <c r="I9" s="47"/>
      <c r="J9" s="48"/>
      <c r="K9" s="49"/>
      <c r="L9" s="50"/>
      <c r="M9" s="51"/>
      <c r="N9" s="13"/>
    </row>
    <row r="10" spans="1:14" x14ac:dyDescent="0.3">
      <c r="A10" s="9" t="s">
        <v>557</v>
      </c>
      <c r="B10" s="9" t="s">
        <v>558</v>
      </c>
      <c r="C10" s="9" t="s">
        <v>777</v>
      </c>
      <c r="D10" s="9" t="s">
        <v>837</v>
      </c>
      <c r="E10" s="9" t="s">
        <v>559</v>
      </c>
      <c r="F10" s="10"/>
      <c r="G10" s="23"/>
      <c r="H10" s="23"/>
      <c r="I10" s="24"/>
      <c r="J10" s="25"/>
      <c r="K10" s="26"/>
      <c r="L10" s="27"/>
      <c r="M10" s="28"/>
      <c r="N10" s="29"/>
    </row>
    <row r="11" spans="1:14" x14ac:dyDescent="0.3">
      <c r="A11" s="9" t="s">
        <v>562</v>
      </c>
      <c r="B11" s="9" t="s">
        <v>594</v>
      </c>
      <c r="C11" s="9" t="s">
        <v>595</v>
      </c>
      <c r="D11" s="9" t="s">
        <v>547</v>
      </c>
      <c r="E11" s="9" t="s">
        <v>563</v>
      </c>
      <c r="F11" s="10"/>
      <c r="G11" s="23"/>
      <c r="H11" s="23"/>
      <c r="I11" s="24"/>
      <c r="J11" s="25"/>
      <c r="K11" s="26"/>
      <c r="L11" s="27"/>
      <c r="M11" s="28"/>
      <c r="N11" s="29"/>
    </row>
    <row r="12" spans="1:14" x14ac:dyDescent="0.3">
      <c r="A12" s="9" t="s">
        <v>564</v>
      </c>
      <c r="B12" s="9" t="s">
        <v>784</v>
      </c>
      <c r="C12" s="9" t="s">
        <v>785</v>
      </c>
      <c r="D12" s="9" t="s">
        <v>565</v>
      </c>
      <c r="E12" s="9" t="s">
        <v>566</v>
      </c>
      <c r="F12" s="10"/>
      <c r="G12" s="23"/>
      <c r="H12" s="23"/>
      <c r="I12" s="24"/>
      <c r="J12" s="25"/>
      <c r="K12" s="26"/>
      <c r="L12" s="27"/>
      <c r="M12" s="28"/>
      <c r="N12" s="29"/>
    </row>
    <row r="13" spans="1:14" x14ac:dyDescent="0.3">
      <c r="A13" s="9" t="s">
        <v>567</v>
      </c>
      <c r="B13" s="9" t="s">
        <v>786</v>
      </c>
      <c r="C13" s="9" t="s">
        <v>787</v>
      </c>
      <c r="D13" s="9" t="s">
        <v>565</v>
      </c>
      <c r="E13" s="9" t="s">
        <v>566</v>
      </c>
      <c r="F13" s="10"/>
      <c r="G13" s="23"/>
      <c r="H13" s="23"/>
      <c r="I13" s="24"/>
      <c r="J13" s="25"/>
      <c r="K13" s="26"/>
      <c r="L13" s="27"/>
      <c r="M13" s="28"/>
      <c r="N13" s="29"/>
    </row>
    <row r="14" spans="1:14" x14ac:dyDescent="0.3">
      <c r="A14" s="9" t="s">
        <v>568</v>
      </c>
      <c r="B14" s="9" t="s">
        <v>569</v>
      </c>
      <c r="C14" s="9" t="s">
        <v>593</v>
      </c>
      <c r="D14" s="9"/>
      <c r="E14" s="9" t="s">
        <v>360</v>
      </c>
      <c r="F14" s="10"/>
      <c r="G14" s="23"/>
      <c r="H14" s="23"/>
      <c r="I14" s="24"/>
      <c r="J14" s="25"/>
      <c r="K14" s="26"/>
      <c r="L14" s="27"/>
      <c r="M14" s="28"/>
      <c r="N14" s="29"/>
    </row>
    <row r="15" spans="1:14" x14ac:dyDescent="0.3">
      <c r="A15" s="9" t="s">
        <v>570</v>
      </c>
      <c r="B15" s="9" t="s">
        <v>588</v>
      </c>
      <c r="C15" s="9" t="s">
        <v>587</v>
      </c>
      <c r="D15" s="9" t="s">
        <v>565</v>
      </c>
      <c r="E15" s="9" t="s">
        <v>87</v>
      </c>
      <c r="F15" s="10"/>
      <c r="G15" s="23"/>
      <c r="H15" s="23"/>
      <c r="I15" s="24"/>
      <c r="J15" s="25"/>
      <c r="K15" s="26"/>
      <c r="L15" s="27"/>
      <c r="M15" s="28"/>
      <c r="N15" s="29"/>
    </row>
    <row r="16" spans="1:14" x14ac:dyDescent="0.3">
      <c r="A16" s="9" t="s">
        <v>571</v>
      </c>
      <c r="B16" s="9" t="s">
        <v>572</v>
      </c>
      <c r="C16" s="9" t="s">
        <v>591</v>
      </c>
      <c r="D16" s="9"/>
      <c r="E16" s="9" t="s">
        <v>87</v>
      </c>
      <c r="F16" s="10"/>
      <c r="G16" s="23"/>
      <c r="H16" s="23"/>
      <c r="I16" s="24"/>
      <c r="J16" s="25"/>
      <c r="K16" s="26"/>
      <c r="L16" s="27"/>
      <c r="M16" s="28"/>
      <c r="N16" s="29"/>
    </row>
    <row r="17" spans="1:14" x14ac:dyDescent="0.3">
      <c r="A17" s="9" t="s">
        <v>573</v>
      </c>
      <c r="B17" s="9" t="s">
        <v>782</v>
      </c>
      <c r="C17" s="9" t="s">
        <v>783</v>
      </c>
      <c r="D17" s="9" t="s">
        <v>94</v>
      </c>
      <c r="E17" s="9" t="s">
        <v>566</v>
      </c>
      <c r="F17" s="10"/>
      <c r="G17" s="23"/>
      <c r="H17" s="23"/>
      <c r="I17" s="24"/>
      <c r="J17" s="25"/>
      <c r="K17" s="26"/>
      <c r="L17" s="27"/>
      <c r="M17" s="28"/>
      <c r="N17" s="29"/>
    </row>
    <row r="18" spans="1:14" x14ac:dyDescent="0.3">
      <c r="A18" s="9" t="s">
        <v>574</v>
      </c>
      <c r="B18" s="9" t="s">
        <v>615</v>
      </c>
      <c r="C18" s="9" t="s">
        <v>592</v>
      </c>
      <c r="D18" s="9" t="s">
        <v>547</v>
      </c>
      <c r="E18" s="9" t="s">
        <v>575</v>
      </c>
      <c r="F18" s="10"/>
      <c r="G18" s="23"/>
      <c r="H18" s="23"/>
      <c r="I18" s="24"/>
      <c r="J18" s="25"/>
      <c r="K18" s="26"/>
      <c r="L18" s="27"/>
      <c r="M18" s="28"/>
      <c r="N18" s="29"/>
    </row>
    <row r="19" spans="1:14" x14ac:dyDescent="0.3">
      <c r="A19" s="9" t="s">
        <v>576</v>
      </c>
      <c r="B19" s="9" t="s">
        <v>577</v>
      </c>
      <c r="C19" s="9"/>
      <c r="D19" s="9"/>
      <c r="E19" s="9" t="s">
        <v>578</v>
      </c>
      <c r="F19" s="10"/>
      <c r="G19" s="23"/>
      <c r="H19" s="23"/>
      <c r="I19" s="24"/>
      <c r="J19" s="25"/>
      <c r="K19" s="26"/>
      <c r="L19" s="27"/>
      <c r="M19" s="28"/>
      <c r="N19" s="29"/>
    </row>
    <row r="20" spans="1:14" x14ac:dyDescent="0.3">
      <c r="A20" s="9" t="s">
        <v>579</v>
      </c>
      <c r="B20" s="9" t="s">
        <v>580</v>
      </c>
      <c r="C20" s="9"/>
      <c r="D20" s="9" t="s">
        <v>565</v>
      </c>
      <c r="E20" s="9" t="s">
        <v>581</v>
      </c>
      <c r="F20" s="10"/>
      <c r="G20" s="23"/>
      <c r="H20" s="23"/>
      <c r="I20" s="24"/>
      <c r="J20" s="25"/>
      <c r="K20" s="26"/>
      <c r="L20" s="27"/>
      <c r="M20" s="28"/>
      <c r="N20" s="29"/>
    </row>
    <row r="21" spans="1:14" x14ac:dyDescent="0.3">
      <c r="A21" s="45"/>
      <c r="B21" s="45"/>
      <c r="C21" s="89" t="s">
        <v>582</v>
      </c>
      <c r="D21" s="89"/>
      <c r="E21" s="89"/>
      <c r="F21" s="53">
        <f>SUM(F10:F20)</f>
        <v>0</v>
      </c>
      <c r="G21" s="46"/>
      <c r="H21" s="46"/>
      <c r="I21" s="47"/>
      <c r="J21" s="48"/>
      <c r="K21" s="49"/>
      <c r="L21" s="50"/>
      <c r="M21" s="51"/>
      <c r="N21" s="13"/>
    </row>
    <row r="22" spans="1:14" x14ac:dyDescent="0.3">
      <c r="A22" s="9" t="s">
        <v>583</v>
      </c>
      <c r="B22" s="9" t="s">
        <v>584</v>
      </c>
      <c r="C22" s="9" t="s">
        <v>589</v>
      </c>
      <c r="D22" s="9" t="s">
        <v>565</v>
      </c>
      <c r="E22" s="9" t="s">
        <v>87</v>
      </c>
      <c r="F22" s="10"/>
      <c r="G22" s="23"/>
      <c r="H22" s="23"/>
      <c r="I22" s="24"/>
      <c r="J22" s="25"/>
      <c r="K22" s="26"/>
      <c r="L22" s="27"/>
      <c r="M22" s="28"/>
      <c r="N22" s="29"/>
    </row>
    <row r="23" spans="1:14" x14ac:dyDescent="0.3">
      <c r="A23" s="62" t="s">
        <v>585</v>
      </c>
      <c r="B23" s="9" t="s">
        <v>586</v>
      </c>
      <c r="C23" s="9" t="s">
        <v>590</v>
      </c>
      <c r="D23" s="9" t="s">
        <v>565</v>
      </c>
      <c r="E23" s="9"/>
      <c r="F23" s="10"/>
      <c r="G23" s="23"/>
      <c r="H23" s="23"/>
      <c r="I23" s="24"/>
      <c r="J23" s="25"/>
      <c r="K23" s="26"/>
      <c r="L23" s="27"/>
      <c r="M23" s="28"/>
      <c r="N23" s="29"/>
    </row>
    <row r="24" spans="1:14" x14ac:dyDescent="0.3">
      <c r="A24" s="9" t="s">
        <v>596</v>
      </c>
      <c r="B24" s="9" t="s">
        <v>597</v>
      </c>
      <c r="C24" s="9"/>
      <c r="D24" s="9" t="s">
        <v>547</v>
      </c>
      <c r="E24" s="9" t="s">
        <v>469</v>
      </c>
      <c r="F24" s="10"/>
      <c r="G24" s="23"/>
      <c r="H24" s="23"/>
      <c r="I24" s="24"/>
      <c r="J24" s="25"/>
      <c r="K24" s="26"/>
      <c r="L24" s="27"/>
      <c r="M24" s="28"/>
      <c r="N24" s="29"/>
    </row>
    <row r="25" spans="1:14" x14ac:dyDescent="0.3">
      <c r="A25" s="9" t="s">
        <v>598</v>
      </c>
      <c r="B25" s="9" t="s">
        <v>599</v>
      </c>
      <c r="C25" s="9"/>
      <c r="D25" s="9" t="s">
        <v>547</v>
      </c>
      <c r="E25" s="9" t="s">
        <v>600</v>
      </c>
      <c r="F25" s="10"/>
      <c r="G25" s="23"/>
      <c r="H25" s="23"/>
      <c r="I25" s="24"/>
      <c r="J25" s="25"/>
      <c r="K25" s="26"/>
      <c r="L25" s="27"/>
      <c r="M25" s="28"/>
      <c r="N25" s="29"/>
    </row>
    <row r="26" spans="1:14" x14ac:dyDescent="0.3">
      <c r="A26" s="9" t="s">
        <v>601</v>
      </c>
      <c r="B26" s="9" t="s">
        <v>602</v>
      </c>
      <c r="C26" s="9" t="s">
        <v>682</v>
      </c>
      <c r="D26" s="9" t="s">
        <v>835</v>
      </c>
      <c r="E26" s="9" t="s">
        <v>89</v>
      </c>
      <c r="F26" s="10">
        <v>232013</v>
      </c>
      <c r="G26" s="23"/>
      <c r="H26" s="23"/>
      <c r="I26" s="24"/>
      <c r="J26" s="25"/>
      <c r="K26" s="26"/>
      <c r="L26" s="27"/>
      <c r="M26" s="28"/>
      <c r="N26" s="29"/>
    </row>
    <row r="27" spans="1:14" x14ac:dyDescent="0.3">
      <c r="A27" s="9" t="s">
        <v>603</v>
      </c>
      <c r="B27" s="9" t="s">
        <v>627</v>
      </c>
      <c r="C27" s="9" t="s">
        <v>626</v>
      </c>
      <c r="D27" s="9"/>
      <c r="E27" s="9"/>
      <c r="F27" s="10"/>
      <c r="G27" s="23"/>
      <c r="H27" s="23"/>
      <c r="I27" s="24"/>
      <c r="J27" s="25"/>
      <c r="K27" s="26"/>
      <c r="L27" s="27"/>
      <c r="M27" s="28"/>
      <c r="N27" s="29"/>
    </row>
    <row r="28" spans="1:14" x14ac:dyDescent="0.3">
      <c r="A28" s="9" t="s">
        <v>605</v>
      </c>
      <c r="B28" s="9" t="s">
        <v>604</v>
      </c>
      <c r="C28" s="9" t="s">
        <v>630</v>
      </c>
      <c r="D28" s="9"/>
      <c r="E28" s="9" t="s">
        <v>581</v>
      </c>
      <c r="F28" s="10"/>
      <c r="G28" s="23"/>
      <c r="H28" s="23"/>
      <c r="I28" s="24"/>
      <c r="J28" s="25"/>
      <c r="K28" s="26"/>
      <c r="L28" s="27"/>
      <c r="M28" s="28"/>
      <c r="N28" s="29"/>
    </row>
    <row r="29" spans="1:14" x14ac:dyDescent="0.3">
      <c r="A29" s="9" t="s">
        <v>606</v>
      </c>
      <c r="B29" s="9" t="s">
        <v>607</v>
      </c>
      <c r="C29" s="9" t="s">
        <v>628</v>
      </c>
      <c r="D29" s="9" t="s">
        <v>565</v>
      </c>
      <c r="E29" s="9" t="s">
        <v>581</v>
      </c>
      <c r="F29" s="10"/>
      <c r="G29" s="23"/>
      <c r="H29" s="23"/>
      <c r="I29" s="24"/>
      <c r="J29" s="25"/>
      <c r="K29" s="26"/>
      <c r="L29" s="27"/>
      <c r="M29" s="28"/>
      <c r="N29" s="29"/>
    </row>
    <row r="30" spans="1:14" x14ac:dyDescent="0.3">
      <c r="A30" s="9" t="s">
        <v>608</v>
      </c>
      <c r="B30" s="9" t="s">
        <v>673</v>
      </c>
      <c r="C30" s="9" t="s">
        <v>629</v>
      </c>
      <c r="D30" s="9" t="s">
        <v>94</v>
      </c>
      <c r="E30" s="9" t="s">
        <v>609</v>
      </c>
      <c r="F30" s="10"/>
      <c r="G30" s="23"/>
      <c r="H30" s="23"/>
      <c r="I30" s="24"/>
      <c r="J30" s="25"/>
      <c r="K30" s="26"/>
      <c r="L30" s="27"/>
      <c r="M30" s="28"/>
      <c r="N30" s="29"/>
    </row>
    <row r="31" spans="1:14" x14ac:dyDescent="0.3">
      <c r="A31" s="9" t="s">
        <v>611</v>
      </c>
      <c r="B31" s="9" t="s">
        <v>612</v>
      </c>
      <c r="C31" s="9"/>
      <c r="D31" s="9" t="s">
        <v>547</v>
      </c>
      <c r="E31" s="9" t="s">
        <v>613</v>
      </c>
      <c r="F31" s="10"/>
      <c r="G31" s="23"/>
      <c r="H31" s="23"/>
      <c r="I31" s="24"/>
      <c r="J31" s="25"/>
      <c r="K31" s="26"/>
      <c r="L31" s="27"/>
      <c r="M31" s="28"/>
      <c r="N31" s="29"/>
    </row>
    <row r="32" spans="1:14" x14ac:dyDescent="0.3">
      <c r="A32" s="45"/>
      <c r="B32" s="45"/>
      <c r="C32" s="89" t="s">
        <v>614</v>
      </c>
      <c r="D32" s="89"/>
      <c r="E32" s="89"/>
      <c r="F32" s="53">
        <f>SUM(F22:F31)</f>
        <v>232013</v>
      </c>
      <c r="G32" s="46"/>
      <c r="H32" s="46"/>
      <c r="I32" s="47"/>
      <c r="J32" s="48"/>
      <c r="K32" s="49"/>
      <c r="L32" s="50"/>
      <c r="M32" s="51"/>
      <c r="N32" s="13"/>
    </row>
    <row r="33" spans="1:14" x14ac:dyDescent="0.3">
      <c r="A33" s="9" t="s">
        <v>616</v>
      </c>
      <c r="B33" s="9" t="s">
        <v>683</v>
      </c>
      <c r="C33" s="9" t="s">
        <v>633</v>
      </c>
      <c r="D33" s="9" t="s">
        <v>617</v>
      </c>
      <c r="E33" s="9" t="s">
        <v>113</v>
      </c>
      <c r="F33" s="10"/>
      <c r="G33" s="23"/>
      <c r="H33" s="23"/>
      <c r="I33" s="24"/>
      <c r="J33" s="25"/>
      <c r="K33" s="26"/>
      <c r="L33" s="27"/>
      <c r="M33" s="28"/>
      <c r="N33" s="29"/>
    </row>
    <row r="34" spans="1:14" x14ac:dyDescent="0.3">
      <c r="A34" s="9" t="s">
        <v>574</v>
      </c>
      <c r="B34" s="9" t="s">
        <v>618</v>
      </c>
      <c r="C34" s="9" t="s">
        <v>592</v>
      </c>
      <c r="D34" s="9" t="s">
        <v>547</v>
      </c>
      <c r="E34" s="9" t="s">
        <v>575</v>
      </c>
      <c r="F34" s="10"/>
      <c r="G34" s="23"/>
      <c r="H34" s="23"/>
      <c r="I34" s="24"/>
      <c r="J34" s="25"/>
      <c r="K34" s="26"/>
      <c r="L34" s="27"/>
      <c r="M34" s="28"/>
      <c r="N34" s="29"/>
    </row>
    <row r="35" spans="1:14" x14ac:dyDescent="0.3">
      <c r="A35" s="9" t="s">
        <v>619</v>
      </c>
      <c r="B35" s="9" t="s">
        <v>620</v>
      </c>
      <c r="C35" s="9" t="s">
        <v>631</v>
      </c>
      <c r="D35" s="9" t="s">
        <v>547</v>
      </c>
      <c r="E35" s="9" t="s">
        <v>469</v>
      </c>
      <c r="F35" s="10"/>
      <c r="G35" s="23"/>
      <c r="H35" s="23"/>
      <c r="I35" s="24"/>
      <c r="J35" s="25"/>
      <c r="K35" s="26"/>
      <c r="L35" s="27"/>
      <c r="M35" s="28"/>
      <c r="N35" s="29"/>
    </row>
    <row r="36" spans="1:14" x14ac:dyDescent="0.3">
      <c r="A36" s="9" t="s">
        <v>621</v>
      </c>
      <c r="B36" s="9" t="s">
        <v>622</v>
      </c>
      <c r="C36" s="9" t="s">
        <v>634</v>
      </c>
      <c r="D36" s="9" t="s">
        <v>547</v>
      </c>
      <c r="E36" s="9" t="s">
        <v>623</v>
      </c>
      <c r="F36" s="10"/>
      <c r="G36" s="23"/>
      <c r="H36" s="23"/>
      <c r="I36" s="24"/>
      <c r="J36" s="25"/>
      <c r="K36" s="26"/>
      <c r="L36" s="27"/>
      <c r="M36" s="28"/>
      <c r="N36" s="29"/>
    </row>
    <row r="37" spans="1:14" x14ac:dyDescent="0.3">
      <c r="A37" s="9" t="s">
        <v>624</v>
      </c>
      <c r="B37" s="9" t="s">
        <v>625</v>
      </c>
      <c r="C37" s="9" t="s">
        <v>632</v>
      </c>
      <c r="D37" s="9" t="s">
        <v>547</v>
      </c>
      <c r="E37" s="9" t="s">
        <v>469</v>
      </c>
      <c r="F37" s="10"/>
      <c r="G37" s="23"/>
      <c r="H37" s="23"/>
      <c r="I37" s="24"/>
      <c r="J37" s="25"/>
      <c r="K37" s="26"/>
      <c r="L37" s="27"/>
      <c r="M37" s="28"/>
      <c r="N37" s="29"/>
    </row>
    <row r="38" spans="1:14" x14ac:dyDescent="0.3">
      <c r="A38" s="9" t="s">
        <v>635</v>
      </c>
      <c r="B38" s="9" t="s">
        <v>636</v>
      </c>
      <c r="C38" s="9" t="s">
        <v>637</v>
      </c>
      <c r="D38" s="9"/>
      <c r="E38" s="9"/>
      <c r="F38" s="10"/>
      <c r="G38" s="23"/>
      <c r="H38" s="23"/>
      <c r="I38" s="24"/>
      <c r="J38" s="25"/>
      <c r="K38" s="26"/>
      <c r="L38" s="27"/>
      <c r="M38" s="28"/>
      <c r="N38" s="29"/>
    </row>
    <row r="39" spans="1:14" x14ac:dyDescent="0.3">
      <c r="A39" s="9" t="s">
        <v>638</v>
      </c>
      <c r="B39" s="9" t="s">
        <v>639</v>
      </c>
      <c r="C39" s="9" t="s">
        <v>640</v>
      </c>
      <c r="D39" s="9"/>
      <c r="E39" s="9"/>
      <c r="F39" s="10"/>
      <c r="G39" s="23"/>
      <c r="H39" s="23"/>
      <c r="I39" s="24"/>
      <c r="J39" s="25"/>
      <c r="K39" s="26"/>
      <c r="L39" s="27"/>
      <c r="M39" s="28"/>
      <c r="N39" s="29"/>
    </row>
    <row r="40" spans="1:14" x14ac:dyDescent="0.3">
      <c r="A40" s="9" t="s">
        <v>641</v>
      </c>
      <c r="B40" s="9" t="s">
        <v>642</v>
      </c>
      <c r="C40" s="9" t="s">
        <v>643</v>
      </c>
      <c r="D40" s="9"/>
      <c r="E40" s="9" t="s">
        <v>469</v>
      </c>
      <c r="F40" s="10"/>
      <c r="G40" s="23"/>
      <c r="H40" s="23"/>
      <c r="I40" s="24"/>
      <c r="J40" s="25"/>
      <c r="K40" s="26"/>
      <c r="L40" s="27"/>
      <c r="M40" s="28"/>
      <c r="N40" s="29"/>
    </row>
    <row r="41" spans="1:14" x14ac:dyDescent="0.3">
      <c r="A41" s="9" t="s">
        <v>644</v>
      </c>
      <c r="B41" s="9" t="s">
        <v>49</v>
      </c>
      <c r="C41" s="9" t="s">
        <v>645</v>
      </c>
      <c r="D41" s="9"/>
      <c r="E41" s="9"/>
      <c r="F41" s="10"/>
      <c r="G41" s="23"/>
      <c r="H41" s="23"/>
      <c r="I41" s="24"/>
      <c r="J41" s="25"/>
      <c r="K41" s="26"/>
      <c r="L41" s="27"/>
      <c r="M41" s="28"/>
      <c r="N41" s="29"/>
    </row>
    <row r="42" spans="1:14" x14ac:dyDescent="0.3">
      <c r="A42" s="9" t="s">
        <v>646</v>
      </c>
      <c r="B42" s="9" t="s">
        <v>647</v>
      </c>
      <c r="C42" s="9" t="s">
        <v>648</v>
      </c>
      <c r="D42" s="9"/>
      <c r="E42" s="9" t="s">
        <v>87</v>
      </c>
      <c r="F42" s="10"/>
      <c r="G42" s="23"/>
      <c r="H42" s="23"/>
      <c r="I42" s="24"/>
      <c r="J42" s="25"/>
      <c r="K42" s="26"/>
      <c r="L42" s="27"/>
      <c r="M42" s="28"/>
      <c r="N42" s="29"/>
    </row>
    <row r="43" spans="1:14" x14ac:dyDescent="0.3">
      <c r="A43" s="9" t="s">
        <v>649</v>
      </c>
      <c r="B43" s="9" t="s">
        <v>650</v>
      </c>
      <c r="C43" s="9" t="s">
        <v>651</v>
      </c>
      <c r="D43" s="9"/>
      <c r="E43" s="9" t="s">
        <v>652</v>
      </c>
      <c r="F43" s="10"/>
      <c r="G43" s="23"/>
      <c r="H43" s="23"/>
      <c r="I43" s="24"/>
      <c r="J43" s="25"/>
      <c r="K43" s="26"/>
      <c r="L43" s="27"/>
      <c r="M43" s="28"/>
      <c r="N43" s="29"/>
    </row>
    <row r="44" spans="1:14" x14ac:dyDescent="0.3">
      <c r="A44" s="45"/>
      <c r="B44" s="45"/>
      <c r="C44" s="89" t="s">
        <v>653</v>
      </c>
      <c r="D44" s="89"/>
      <c r="E44" s="89"/>
      <c r="F44" s="53">
        <f>SUM(F33:F43)</f>
        <v>0</v>
      </c>
      <c r="G44" s="46"/>
      <c r="H44" s="46"/>
      <c r="I44" s="47"/>
      <c r="J44" s="48"/>
      <c r="K44" s="49"/>
      <c r="L44" s="50"/>
      <c r="M44" s="51"/>
      <c r="N44" s="13"/>
    </row>
    <row r="45" spans="1:14" x14ac:dyDescent="0.3">
      <c r="A45" s="9" t="s">
        <v>654</v>
      </c>
      <c r="B45" s="9" t="s">
        <v>655</v>
      </c>
      <c r="C45" s="9" t="s">
        <v>656</v>
      </c>
      <c r="D45" s="9"/>
      <c r="E45" s="9" t="s">
        <v>657</v>
      </c>
      <c r="F45" s="10"/>
      <c r="G45" s="23"/>
      <c r="H45" s="23"/>
      <c r="I45" s="24"/>
      <c r="J45" s="25"/>
      <c r="K45" s="26"/>
      <c r="L45" s="27"/>
      <c r="M45" s="28"/>
      <c r="N45" s="29"/>
    </row>
    <row r="46" spans="1:14" x14ac:dyDescent="0.3">
      <c r="A46" s="9" t="s">
        <v>658</v>
      </c>
      <c r="B46" s="9" t="s">
        <v>659</v>
      </c>
      <c r="C46" s="9" t="s">
        <v>660</v>
      </c>
      <c r="D46" s="9" t="s">
        <v>661</v>
      </c>
      <c r="E46" s="9" t="s">
        <v>89</v>
      </c>
      <c r="F46" s="10">
        <v>206815</v>
      </c>
      <c r="G46" s="23"/>
      <c r="H46" s="23"/>
      <c r="I46" s="24"/>
      <c r="J46" s="25"/>
      <c r="K46" s="26"/>
      <c r="L46" s="27"/>
      <c r="M46" s="28"/>
      <c r="N46" s="29"/>
    </row>
    <row r="47" spans="1:14" x14ac:dyDescent="0.3">
      <c r="A47" s="9" t="s">
        <v>662</v>
      </c>
      <c r="B47" s="9" t="s">
        <v>663</v>
      </c>
      <c r="C47" s="9" t="s">
        <v>664</v>
      </c>
      <c r="D47" s="9"/>
      <c r="E47" s="9" t="s">
        <v>781</v>
      </c>
      <c r="F47" s="10"/>
      <c r="G47" s="23"/>
      <c r="H47" s="23"/>
      <c r="I47" s="24"/>
      <c r="J47" s="25"/>
      <c r="K47" s="26"/>
      <c r="L47" s="27"/>
      <c r="M47" s="28"/>
      <c r="N47" s="29"/>
    </row>
    <row r="48" spans="1:14" x14ac:dyDescent="0.3">
      <c r="A48" s="9" t="s">
        <v>665</v>
      </c>
      <c r="B48" s="9" t="s">
        <v>666</v>
      </c>
      <c r="C48" s="9" t="s">
        <v>667</v>
      </c>
      <c r="D48" s="9"/>
      <c r="E48" s="9"/>
      <c r="F48" s="10"/>
      <c r="G48" s="23"/>
      <c r="H48" s="23"/>
      <c r="I48" s="24"/>
      <c r="J48" s="25"/>
      <c r="K48" s="26"/>
      <c r="L48" s="27"/>
      <c r="M48" s="28"/>
      <c r="N48" s="29"/>
    </row>
    <row r="49" spans="1:14" x14ac:dyDescent="0.3">
      <c r="A49" s="9" t="s">
        <v>668</v>
      </c>
      <c r="B49" s="9" t="s">
        <v>669</v>
      </c>
      <c r="C49" s="9" t="s">
        <v>670</v>
      </c>
      <c r="E49" s="9" t="s">
        <v>401</v>
      </c>
      <c r="F49" s="10"/>
      <c r="G49" s="23"/>
      <c r="H49" s="23"/>
      <c r="I49" s="24"/>
      <c r="J49" s="25"/>
      <c r="K49" s="26"/>
      <c r="L49" s="27"/>
      <c r="M49" s="28"/>
      <c r="N49" s="29"/>
    </row>
    <row r="50" spans="1:14" x14ac:dyDescent="0.3">
      <c r="A50" s="9" t="s">
        <v>671</v>
      </c>
      <c r="B50" s="9" t="s">
        <v>672</v>
      </c>
      <c r="C50" s="9" t="s">
        <v>674</v>
      </c>
      <c r="D50" s="9"/>
      <c r="E50" s="9" t="s">
        <v>675</v>
      </c>
      <c r="F50" s="10"/>
      <c r="G50" s="23"/>
      <c r="H50" s="23"/>
      <c r="I50" s="24"/>
      <c r="J50" s="25"/>
      <c r="K50" s="26"/>
      <c r="L50" s="27"/>
      <c r="M50" s="28"/>
      <c r="N50" s="29"/>
    </row>
    <row r="51" spans="1:14" x14ac:dyDescent="0.3">
      <c r="A51" s="9" t="s">
        <v>676</v>
      </c>
      <c r="B51" s="9" t="s">
        <v>677</v>
      </c>
      <c r="C51" s="9" t="s">
        <v>678</v>
      </c>
      <c r="D51" s="9"/>
      <c r="E51" s="9"/>
      <c r="F51" s="10"/>
      <c r="G51" s="23"/>
      <c r="H51" s="23"/>
      <c r="I51" s="24"/>
      <c r="J51" s="25"/>
      <c r="K51" s="26"/>
      <c r="L51" s="27"/>
      <c r="M51" s="28"/>
      <c r="N51" s="29"/>
    </row>
    <row r="52" spans="1:14" x14ac:dyDescent="0.3">
      <c r="A52" s="9" t="s">
        <v>679</v>
      </c>
      <c r="B52" s="9" t="s">
        <v>680</v>
      </c>
      <c r="C52" s="9" t="s">
        <v>681</v>
      </c>
      <c r="D52" s="9"/>
      <c r="E52" s="9"/>
      <c r="F52" s="10"/>
      <c r="G52" s="23"/>
      <c r="H52" s="23"/>
      <c r="I52" s="24"/>
      <c r="J52" s="25"/>
      <c r="K52" s="26"/>
      <c r="L52" s="27"/>
      <c r="M52" s="28"/>
      <c r="N52" s="29"/>
    </row>
    <row r="53" spans="1:14" x14ac:dyDescent="0.3">
      <c r="A53" s="9" t="s">
        <v>684</v>
      </c>
      <c r="B53" s="9" t="s">
        <v>685</v>
      </c>
      <c r="C53" s="9" t="s">
        <v>686</v>
      </c>
      <c r="D53" s="9" t="s">
        <v>138</v>
      </c>
      <c r="E53" s="9" t="s">
        <v>687</v>
      </c>
      <c r="F53" s="10"/>
      <c r="G53" s="23"/>
      <c r="H53" s="23"/>
      <c r="I53" s="24"/>
      <c r="J53" s="25"/>
      <c r="K53" s="26"/>
      <c r="L53" s="27"/>
      <c r="M53" s="28"/>
      <c r="N53" s="29"/>
    </row>
    <row r="54" spans="1:14" x14ac:dyDescent="0.3">
      <c r="A54" s="9" t="s">
        <v>688</v>
      </c>
      <c r="B54" s="9" t="s">
        <v>689</v>
      </c>
      <c r="C54" s="9" t="s">
        <v>690</v>
      </c>
      <c r="D54" s="9"/>
      <c r="E54" s="9" t="s">
        <v>691</v>
      </c>
      <c r="F54" s="10"/>
      <c r="G54" s="23"/>
      <c r="H54" s="23"/>
      <c r="I54" s="24"/>
      <c r="J54" s="25"/>
      <c r="K54" s="26"/>
      <c r="L54" s="27"/>
      <c r="M54" s="28"/>
      <c r="N54" s="29"/>
    </row>
    <row r="55" spans="1:14" x14ac:dyDescent="0.3">
      <c r="A55" s="45"/>
      <c r="B55" s="45"/>
      <c r="C55" s="89" t="s">
        <v>692</v>
      </c>
      <c r="D55" s="89"/>
      <c r="E55" s="89"/>
      <c r="F55" s="53">
        <f>SUM(F45:F54)</f>
        <v>206815</v>
      </c>
      <c r="G55" s="46"/>
      <c r="H55" s="46"/>
      <c r="I55" s="47"/>
      <c r="J55" s="48"/>
      <c r="K55" s="49"/>
      <c r="L55" s="50"/>
      <c r="M55" s="51"/>
      <c r="N55" s="13"/>
    </row>
    <row r="56" spans="1:14" x14ac:dyDescent="0.3">
      <c r="A56" s="9" t="s">
        <v>693</v>
      </c>
      <c r="B56" s="9" t="s">
        <v>694</v>
      </c>
      <c r="C56" s="9" t="s">
        <v>695</v>
      </c>
      <c r="D56" s="9"/>
      <c r="E56" s="9"/>
      <c r="F56" s="10"/>
      <c r="G56" s="23"/>
      <c r="H56" s="23"/>
      <c r="I56" s="24"/>
      <c r="J56" s="25"/>
      <c r="K56" s="26"/>
      <c r="L56" s="27"/>
      <c r="M56" s="28"/>
      <c r="N56" s="29"/>
    </row>
    <row r="57" spans="1:14" x14ac:dyDescent="0.3">
      <c r="A57" s="9" t="s">
        <v>696</v>
      </c>
      <c r="B57" s="9" t="s">
        <v>697</v>
      </c>
      <c r="C57" s="9"/>
      <c r="D57" s="9"/>
      <c r="E57" s="9"/>
      <c r="F57" s="10"/>
      <c r="G57" s="23"/>
      <c r="H57" s="23"/>
      <c r="I57" s="24"/>
      <c r="J57" s="25"/>
      <c r="K57" s="26"/>
      <c r="L57" s="27"/>
      <c r="M57" s="28"/>
      <c r="N57" s="29"/>
    </row>
    <row r="58" spans="1:14" x14ac:dyDescent="0.3">
      <c r="A58" s="9" t="s">
        <v>698</v>
      </c>
      <c r="B58" s="9" t="s">
        <v>699</v>
      </c>
      <c r="C58" s="9" t="s">
        <v>700</v>
      </c>
      <c r="D58" s="9"/>
      <c r="E58" s="9"/>
      <c r="F58" s="10"/>
      <c r="G58" s="23"/>
      <c r="H58" s="23"/>
      <c r="I58" s="24"/>
      <c r="J58" s="25"/>
      <c r="K58" s="26"/>
      <c r="L58" s="27"/>
      <c r="M58" s="28"/>
      <c r="N58" s="29"/>
    </row>
    <row r="59" spans="1:14" x14ac:dyDescent="0.3">
      <c r="A59" s="9" t="s">
        <v>701</v>
      </c>
      <c r="B59" s="9" t="s">
        <v>702</v>
      </c>
      <c r="C59" s="9" t="s">
        <v>703</v>
      </c>
      <c r="D59" s="9"/>
      <c r="E59" s="9" t="s">
        <v>469</v>
      </c>
      <c r="F59" s="10"/>
      <c r="G59" s="23"/>
      <c r="H59" s="23"/>
      <c r="I59" s="24"/>
      <c r="J59" s="25"/>
      <c r="K59" s="26"/>
      <c r="L59" s="27"/>
      <c r="M59" s="28"/>
      <c r="N59" s="29"/>
    </row>
    <row r="60" spans="1:14" x14ac:dyDescent="0.3">
      <c r="A60" s="9" t="s">
        <v>704</v>
      </c>
      <c r="B60" s="9" t="s">
        <v>705</v>
      </c>
      <c r="C60" s="9" t="s">
        <v>706</v>
      </c>
      <c r="D60" s="9"/>
      <c r="E60" s="9" t="s">
        <v>600</v>
      </c>
      <c r="F60" s="10"/>
      <c r="G60" s="23"/>
      <c r="H60" s="23"/>
      <c r="I60" s="24"/>
      <c r="J60" s="25"/>
      <c r="K60" s="26"/>
      <c r="L60" s="27"/>
      <c r="M60" s="28"/>
      <c r="N60" s="29"/>
    </row>
    <row r="61" spans="1:14" x14ac:dyDescent="0.3">
      <c r="A61" s="9" t="s">
        <v>707</v>
      </c>
      <c r="B61" s="9" t="s">
        <v>708</v>
      </c>
      <c r="C61" s="9" t="s">
        <v>709</v>
      </c>
      <c r="D61" s="9"/>
      <c r="E61" s="9" t="s">
        <v>623</v>
      </c>
      <c r="F61" s="10"/>
      <c r="G61" s="23"/>
      <c r="H61" s="23"/>
      <c r="I61" s="24"/>
      <c r="J61" s="25"/>
      <c r="K61" s="26"/>
      <c r="L61" s="27"/>
      <c r="M61" s="28"/>
      <c r="N61" s="29"/>
    </row>
    <row r="62" spans="1:14" x14ac:dyDescent="0.3">
      <c r="A62" s="9" t="s">
        <v>710</v>
      </c>
      <c r="B62" s="9" t="s">
        <v>711</v>
      </c>
      <c r="C62" s="9" t="s">
        <v>712</v>
      </c>
      <c r="D62" s="9"/>
      <c r="E62" s="9"/>
      <c r="F62" s="10"/>
      <c r="G62" s="23"/>
      <c r="H62" s="23"/>
      <c r="I62" s="24"/>
      <c r="J62" s="25"/>
      <c r="K62" s="26"/>
      <c r="L62" s="27"/>
      <c r="M62" s="28"/>
      <c r="N62" s="29"/>
    </row>
    <row r="63" spans="1:14" x14ac:dyDescent="0.3">
      <c r="A63" s="63"/>
      <c r="B63" s="63"/>
      <c r="C63" s="82" t="s">
        <v>713</v>
      </c>
      <c r="D63" s="82"/>
      <c r="E63" s="82"/>
      <c r="F63" s="65">
        <f>SUM(F56:F62)</f>
        <v>0</v>
      </c>
      <c r="G63" s="64"/>
      <c r="H63" s="64"/>
      <c r="I63" s="66"/>
      <c r="J63" s="67"/>
      <c r="K63" s="68"/>
      <c r="L63" s="69"/>
      <c r="M63" s="70"/>
      <c r="N63" s="58"/>
    </row>
    <row r="64" spans="1:14" s="12" customFormat="1" x14ac:dyDescent="0.3">
      <c r="A64" s="9">
        <v>2006</v>
      </c>
      <c r="B64" s="9" t="s">
        <v>725</v>
      </c>
      <c r="C64" s="23"/>
      <c r="D64" s="23"/>
      <c r="E64" s="23"/>
      <c r="F64" s="10"/>
      <c r="G64" s="23"/>
      <c r="H64" s="23"/>
      <c r="I64" s="24"/>
      <c r="J64" s="25"/>
      <c r="K64" s="61"/>
      <c r="L64" s="27"/>
      <c r="M64" s="28"/>
    </row>
    <row r="65" spans="1:14" x14ac:dyDescent="0.3">
      <c r="A65" s="9">
        <v>2006</v>
      </c>
      <c r="B65" s="9" t="s">
        <v>730</v>
      </c>
      <c r="C65" s="9"/>
      <c r="D65" s="9"/>
      <c r="E65" s="9" t="s">
        <v>87</v>
      </c>
      <c r="F65" s="16"/>
      <c r="G65" s="38"/>
      <c r="H65" s="38"/>
      <c r="I65" s="39"/>
      <c r="J65" s="40"/>
      <c r="K65" s="41"/>
      <c r="L65" s="42"/>
      <c r="M65" s="43"/>
      <c r="N65" s="44"/>
    </row>
    <row r="66" spans="1:14" x14ac:dyDescent="0.3">
      <c r="A66" s="15" t="s">
        <v>715</v>
      </c>
      <c r="B66" s="15" t="s">
        <v>714</v>
      </c>
      <c r="C66" s="15"/>
      <c r="D66" s="15"/>
      <c r="E66" s="15" t="s">
        <v>87</v>
      </c>
      <c r="F66" s="16"/>
      <c r="G66" s="38"/>
      <c r="H66" s="38"/>
      <c r="I66" s="39"/>
      <c r="J66" s="40"/>
      <c r="K66" s="41"/>
      <c r="L66" s="42"/>
      <c r="M66" s="43"/>
      <c r="N66" s="44"/>
    </row>
    <row r="67" spans="1:14" x14ac:dyDescent="0.3">
      <c r="A67" s="15"/>
      <c r="B67" s="15" t="s">
        <v>773</v>
      </c>
      <c r="C67" s="15"/>
      <c r="D67" s="15"/>
      <c r="E67" s="15" t="s">
        <v>687</v>
      </c>
      <c r="F67" s="16"/>
      <c r="G67" s="38"/>
      <c r="H67" s="38"/>
      <c r="I67" s="39"/>
      <c r="J67" s="40"/>
      <c r="K67" s="41"/>
      <c r="L67" s="42"/>
      <c r="M67" s="43"/>
      <c r="N67" s="44"/>
    </row>
    <row r="68" spans="1:14" x14ac:dyDescent="0.3">
      <c r="A68" s="9">
        <v>2007</v>
      </c>
      <c r="B68" s="9" t="s">
        <v>723</v>
      </c>
      <c r="C68" s="9"/>
      <c r="D68" s="9"/>
      <c r="E68" s="9"/>
      <c r="F68" s="10"/>
      <c r="G68" s="23"/>
      <c r="H68" s="23"/>
      <c r="I68" s="24"/>
      <c r="J68" s="25"/>
      <c r="K68" s="26"/>
      <c r="L68" s="27"/>
      <c r="M68" s="28"/>
      <c r="N68" s="29"/>
    </row>
    <row r="69" spans="1:14" x14ac:dyDescent="0.3">
      <c r="A69" s="9">
        <v>2007</v>
      </c>
      <c r="B69" s="9" t="s">
        <v>724</v>
      </c>
      <c r="C69" s="9" t="s">
        <v>776</v>
      </c>
      <c r="D69" s="9" t="s">
        <v>565</v>
      </c>
      <c r="E69" s="9"/>
      <c r="F69" s="10"/>
      <c r="G69" s="23"/>
      <c r="H69" s="23"/>
      <c r="I69" s="24"/>
      <c r="J69" s="25"/>
      <c r="K69" s="26"/>
      <c r="L69" s="27"/>
      <c r="M69" s="28"/>
      <c r="N69" s="29"/>
    </row>
    <row r="70" spans="1:14" x14ac:dyDescent="0.3">
      <c r="A70" s="9">
        <v>2007</v>
      </c>
      <c r="B70" s="9" t="s">
        <v>716</v>
      </c>
      <c r="C70" s="9"/>
      <c r="D70" s="9" t="s">
        <v>547</v>
      </c>
      <c r="E70" s="9" t="s">
        <v>717</v>
      </c>
      <c r="F70" s="10"/>
      <c r="G70" s="23"/>
      <c r="H70" s="23"/>
      <c r="I70" s="24"/>
      <c r="J70" s="25"/>
      <c r="K70" s="26"/>
      <c r="L70" s="27"/>
      <c r="M70" s="28"/>
      <c r="N70" s="29"/>
    </row>
    <row r="71" spans="1:14" x14ac:dyDescent="0.3">
      <c r="A71" s="9">
        <v>2007</v>
      </c>
      <c r="B71" s="9" t="s">
        <v>718</v>
      </c>
      <c r="C71" s="9"/>
      <c r="D71" s="9" t="s">
        <v>547</v>
      </c>
      <c r="E71" s="9" t="s">
        <v>717</v>
      </c>
      <c r="F71" s="10"/>
      <c r="G71" s="23"/>
      <c r="H71" s="23"/>
      <c r="I71" s="24"/>
      <c r="J71" s="25"/>
      <c r="K71" s="26"/>
      <c r="L71" s="27"/>
      <c r="M71" s="28"/>
      <c r="N71" s="29"/>
    </row>
    <row r="72" spans="1:14" x14ac:dyDescent="0.3">
      <c r="A72" s="9">
        <v>2007</v>
      </c>
      <c r="B72" s="9" t="s">
        <v>722</v>
      </c>
      <c r="C72" s="9"/>
      <c r="D72" s="9" t="s">
        <v>138</v>
      </c>
      <c r="E72" s="9"/>
      <c r="F72" s="10"/>
      <c r="G72" s="23"/>
      <c r="H72" s="23"/>
      <c r="I72" s="24"/>
      <c r="J72" s="25"/>
      <c r="K72" s="26"/>
      <c r="L72" s="27"/>
      <c r="M72" s="28"/>
      <c r="N72" s="29"/>
    </row>
    <row r="73" spans="1:14" x14ac:dyDescent="0.3">
      <c r="A73" s="9" t="s">
        <v>721</v>
      </c>
      <c r="B73" s="9" t="s">
        <v>719</v>
      </c>
      <c r="C73" s="9" t="s">
        <v>720</v>
      </c>
      <c r="D73" s="9" t="s">
        <v>138</v>
      </c>
      <c r="E73" s="9" t="s">
        <v>717</v>
      </c>
      <c r="F73" s="10"/>
      <c r="G73" s="83" t="s">
        <v>774</v>
      </c>
      <c r="H73" s="84"/>
      <c r="I73" s="85"/>
      <c r="J73" s="25"/>
      <c r="K73" s="26"/>
      <c r="L73" s="27"/>
      <c r="M73" s="28"/>
      <c r="N73" s="29"/>
    </row>
    <row r="74" spans="1:14" x14ac:dyDescent="0.3">
      <c r="A74" s="9" t="s">
        <v>732</v>
      </c>
      <c r="B74" s="9" t="s">
        <v>731</v>
      </c>
      <c r="C74" s="9"/>
      <c r="D74" s="9"/>
      <c r="E74" s="9" t="s">
        <v>727</v>
      </c>
      <c r="F74" s="10"/>
      <c r="G74" s="23"/>
      <c r="H74" s="23"/>
      <c r="I74" s="24"/>
      <c r="J74" s="25"/>
      <c r="K74" s="26"/>
      <c r="L74" s="27"/>
      <c r="M74" s="28"/>
      <c r="N74" s="29"/>
    </row>
    <row r="75" spans="1:14" x14ac:dyDescent="0.3">
      <c r="A75" s="9">
        <v>2009</v>
      </c>
      <c r="B75" s="9" t="s">
        <v>726</v>
      </c>
      <c r="C75" s="9"/>
      <c r="D75" s="9"/>
      <c r="E75" s="9"/>
      <c r="F75" s="10"/>
      <c r="G75" s="23"/>
      <c r="H75" s="23"/>
      <c r="I75" s="24"/>
      <c r="J75" s="25"/>
      <c r="K75" s="26"/>
      <c r="L75" s="27"/>
      <c r="M75" s="28"/>
      <c r="N75" s="29"/>
    </row>
    <row r="76" spans="1:14" x14ac:dyDescent="0.3">
      <c r="A76" s="9" t="s">
        <v>763</v>
      </c>
      <c r="B76" s="9" t="s">
        <v>728</v>
      </c>
      <c r="C76" s="9" t="s">
        <v>764</v>
      </c>
      <c r="D76" s="9"/>
      <c r="E76" s="9" t="s">
        <v>729</v>
      </c>
      <c r="F76" s="10"/>
      <c r="G76" s="23"/>
      <c r="H76" s="23"/>
      <c r="I76" s="24"/>
      <c r="J76" s="25"/>
      <c r="K76" s="26"/>
      <c r="L76" s="27"/>
      <c r="M76" s="28"/>
      <c r="N76" s="29"/>
    </row>
    <row r="77" spans="1:14" x14ac:dyDescent="0.3">
      <c r="A77" s="9"/>
      <c r="B77" s="9" t="s">
        <v>765</v>
      </c>
      <c r="C77" s="9"/>
      <c r="D77" s="9"/>
      <c r="E77" s="9" t="s">
        <v>146</v>
      </c>
      <c r="F77" s="10">
        <v>155000</v>
      </c>
      <c r="G77" s="23"/>
      <c r="H77" s="23"/>
      <c r="I77" s="24"/>
      <c r="J77" s="25"/>
      <c r="K77" s="26"/>
      <c r="L77" s="27"/>
      <c r="M77" s="28"/>
      <c r="N77" s="29"/>
    </row>
    <row r="78" spans="1:14" x14ac:dyDescent="0.3">
      <c r="A78" s="9"/>
      <c r="B78" s="9" t="s">
        <v>771</v>
      </c>
      <c r="C78" s="9" t="s">
        <v>772</v>
      </c>
      <c r="D78" s="9"/>
      <c r="E78" s="9" t="s">
        <v>729</v>
      </c>
      <c r="F78" s="10"/>
      <c r="G78" s="23"/>
      <c r="H78" s="23"/>
      <c r="I78" s="24"/>
      <c r="J78" s="25"/>
      <c r="K78" s="26"/>
      <c r="L78" s="27"/>
      <c r="M78" s="28"/>
      <c r="N78" s="29"/>
    </row>
    <row r="79" spans="1:14" x14ac:dyDescent="0.3">
      <c r="A79" s="9" t="s">
        <v>769</v>
      </c>
      <c r="B79" s="9" t="s">
        <v>770</v>
      </c>
      <c r="C79" s="9"/>
      <c r="D79" s="9"/>
      <c r="E79" s="9" t="s">
        <v>89</v>
      </c>
      <c r="F79" s="10"/>
      <c r="G79" s="23"/>
      <c r="H79" s="23"/>
      <c r="I79" s="24"/>
      <c r="J79" s="25"/>
      <c r="K79" s="26"/>
      <c r="L79" s="27"/>
      <c r="M79" s="28"/>
      <c r="N79" s="29"/>
    </row>
    <row r="80" spans="1:14" x14ac:dyDescent="0.3">
      <c r="A80" s="9" t="s">
        <v>768</v>
      </c>
      <c r="B80" s="9" t="s">
        <v>766</v>
      </c>
      <c r="C80" s="9" t="s">
        <v>767</v>
      </c>
      <c r="D80" s="9" t="s">
        <v>534</v>
      </c>
      <c r="E80" s="9"/>
      <c r="F80" s="10"/>
      <c r="G80" s="23"/>
      <c r="H80" s="23"/>
      <c r="I80" s="24"/>
      <c r="J80" s="25"/>
      <c r="K80" s="26"/>
      <c r="L80" s="27"/>
      <c r="M80" s="28"/>
      <c r="N80" s="29"/>
    </row>
    <row r="81" spans="1:14" x14ac:dyDescent="0.3">
      <c r="A81" s="9" t="s">
        <v>747</v>
      </c>
      <c r="B81" s="9" t="s">
        <v>748</v>
      </c>
      <c r="C81" s="9"/>
      <c r="D81" s="9"/>
      <c r="E81" s="9" t="s">
        <v>95</v>
      </c>
      <c r="F81" s="10"/>
      <c r="G81" s="23"/>
      <c r="H81" s="23"/>
      <c r="I81" s="24"/>
      <c r="J81" s="25"/>
      <c r="K81" s="26"/>
      <c r="L81" s="27"/>
      <c r="M81" s="28"/>
      <c r="N81" s="29"/>
    </row>
    <row r="82" spans="1:14" x14ac:dyDescent="0.3">
      <c r="A82" s="9" t="s">
        <v>752</v>
      </c>
      <c r="B82" s="9" t="s">
        <v>753</v>
      </c>
      <c r="C82" s="9" t="s">
        <v>754</v>
      </c>
      <c r="D82" s="9"/>
      <c r="E82" s="9" t="s">
        <v>755</v>
      </c>
      <c r="F82" s="10"/>
      <c r="G82" s="23"/>
      <c r="H82" s="23"/>
      <c r="I82" s="24"/>
      <c r="J82" s="25"/>
      <c r="K82" s="26"/>
      <c r="L82" s="27"/>
      <c r="M82" s="28"/>
      <c r="N82" s="29"/>
    </row>
    <row r="83" spans="1:14" x14ac:dyDescent="0.3">
      <c r="A83" s="9" t="s">
        <v>756</v>
      </c>
      <c r="B83" s="9" t="s">
        <v>757</v>
      </c>
      <c r="C83" s="9"/>
      <c r="D83" s="9"/>
      <c r="E83" s="9" t="s">
        <v>759</v>
      </c>
      <c r="F83" s="10"/>
      <c r="G83" s="23" t="s">
        <v>758</v>
      </c>
      <c r="H83" s="23"/>
      <c r="I83" s="24"/>
      <c r="J83" s="25"/>
      <c r="K83" s="26"/>
      <c r="L83" s="27"/>
      <c r="M83" s="28"/>
      <c r="N83" s="29"/>
    </row>
    <row r="84" spans="1:14" x14ac:dyDescent="0.3">
      <c r="A84" s="9" t="s">
        <v>736</v>
      </c>
      <c r="B84" s="9" t="s">
        <v>737</v>
      </c>
      <c r="C84" s="9" t="s">
        <v>738</v>
      </c>
      <c r="D84" s="9"/>
      <c r="E84" s="9"/>
      <c r="F84" s="10">
        <v>225517</v>
      </c>
      <c r="G84" s="23"/>
      <c r="H84" s="23"/>
      <c r="I84" s="24"/>
      <c r="J84" s="25"/>
      <c r="K84" s="26"/>
      <c r="L84" s="27"/>
      <c r="M84" s="28"/>
      <c r="N84" s="29"/>
    </row>
    <row r="85" spans="1:14" x14ac:dyDescent="0.3">
      <c r="A85" s="9" t="s">
        <v>742</v>
      </c>
      <c r="B85" s="9" t="s">
        <v>744</v>
      </c>
      <c r="C85" s="9" t="s">
        <v>743</v>
      </c>
      <c r="D85" s="9"/>
      <c r="E85" s="9" t="s">
        <v>141</v>
      </c>
      <c r="F85" s="10"/>
      <c r="G85" s="23"/>
      <c r="H85" s="23"/>
      <c r="I85" s="24"/>
      <c r="J85" s="25"/>
      <c r="K85" s="26"/>
      <c r="L85" s="27"/>
      <c r="M85" s="28"/>
      <c r="N85" s="29"/>
    </row>
    <row r="86" spans="1:14" x14ac:dyDescent="0.3">
      <c r="A86" s="9"/>
      <c r="B86" s="9"/>
      <c r="C86" s="9"/>
      <c r="D86" s="9"/>
      <c r="E86" s="9"/>
      <c r="F86" s="10"/>
      <c r="G86" s="23"/>
      <c r="H86" s="23"/>
      <c r="I86" s="24"/>
      <c r="J86" s="25"/>
      <c r="K86" s="26"/>
      <c r="L86" s="27"/>
      <c r="M86" s="28"/>
      <c r="N86" s="29"/>
    </row>
    <row r="87" spans="1:14" x14ac:dyDescent="0.3">
      <c r="A87" s="9" t="s">
        <v>749</v>
      </c>
      <c r="B87" s="9" t="s">
        <v>750</v>
      </c>
      <c r="C87" s="9" t="s">
        <v>751</v>
      </c>
      <c r="D87" s="9"/>
      <c r="E87" s="9" t="s">
        <v>146</v>
      </c>
      <c r="F87" s="10"/>
      <c r="G87" s="23"/>
      <c r="H87" s="23"/>
      <c r="I87" s="24"/>
      <c r="J87" s="25"/>
      <c r="K87" s="26"/>
      <c r="L87" s="27"/>
      <c r="M87" s="28"/>
      <c r="N87" s="29"/>
    </row>
    <row r="88" spans="1:14" x14ac:dyDescent="0.3">
      <c r="A88" s="9"/>
      <c r="B88" s="9"/>
      <c r="C88" s="9"/>
      <c r="D88" s="9"/>
      <c r="E88" s="9"/>
      <c r="F88" s="10"/>
      <c r="G88" s="23"/>
      <c r="H88" s="23"/>
      <c r="I88" s="24"/>
      <c r="J88" s="25"/>
      <c r="K88" s="26"/>
      <c r="L88" s="27"/>
      <c r="M88" s="28"/>
      <c r="N88" s="29"/>
    </row>
    <row r="89" spans="1:14" x14ac:dyDescent="0.3">
      <c r="A89" s="9"/>
      <c r="B89" s="9">
        <v>12</v>
      </c>
      <c r="C89" s="9"/>
      <c r="D89" s="9"/>
      <c r="E89" s="9"/>
      <c r="F89" s="10"/>
      <c r="G89" s="23"/>
      <c r="H89" s="23"/>
      <c r="I89" s="24"/>
      <c r="J89" s="25"/>
      <c r="K89" s="26"/>
      <c r="L89" s="27"/>
      <c r="M89" s="28"/>
      <c r="N89" s="29"/>
    </row>
    <row r="90" spans="1:14" x14ac:dyDescent="0.3">
      <c r="A90" s="9" t="s">
        <v>739</v>
      </c>
      <c r="B90" s="9" t="s">
        <v>740</v>
      </c>
      <c r="C90" s="9" t="s">
        <v>741</v>
      </c>
      <c r="D90" s="9"/>
      <c r="E90" s="9" t="s">
        <v>141</v>
      </c>
      <c r="F90" s="10"/>
      <c r="G90" s="23"/>
      <c r="H90" s="23"/>
      <c r="I90" s="24"/>
      <c r="J90" s="25"/>
      <c r="K90" s="26"/>
      <c r="L90" s="27"/>
      <c r="M90" s="28"/>
      <c r="N90" s="29"/>
    </row>
    <row r="91" spans="1:14" x14ac:dyDescent="0.3">
      <c r="A91" s="9" t="s">
        <v>733</v>
      </c>
      <c r="B91" s="9" t="s">
        <v>734</v>
      </c>
      <c r="C91" s="9" t="s">
        <v>735</v>
      </c>
      <c r="D91" s="9"/>
      <c r="E91" s="9"/>
      <c r="F91" s="10"/>
      <c r="G91" s="23"/>
      <c r="H91" s="23"/>
      <c r="I91" s="24"/>
      <c r="J91" s="25"/>
      <c r="K91" s="26"/>
      <c r="L91" s="27"/>
      <c r="M91" s="28"/>
      <c r="N91" s="29"/>
    </row>
    <row r="92" spans="1:14" x14ac:dyDescent="0.3">
      <c r="A92" s="9" t="s">
        <v>192</v>
      </c>
      <c r="B92" s="9" t="s">
        <v>745</v>
      </c>
      <c r="C92" s="9" t="s">
        <v>746</v>
      </c>
      <c r="D92" s="9"/>
      <c r="E92" s="9" t="s">
        <v>141</v>
      </c>
      <c r="F92" s="10"/>
      <c r="G92" s="23"/>
      <c r="H92" s="23"/>
      <c r="I92" s="24"/>
      <c r="J92" s="25"/>
      <c r="K92" s="26"/>
      <c r="L92" s="27"/>
      <c r="M92" s="28"/>
      <c r="N92" s="29"/>
    </row>
    <row r="93" spans="1:14" x14ac:dyDescent="0.3">
      <c r="A93" s="9"/>
      <c r="B93" s="9" t="s">
        <v>760</v>
      </c>
      <c r="C93" s="9" t="s">
        <v>761</v>
      </c>
      <c r="D93" s="9" t="s">
        <v>138</v>
      </c>
      <c r="E93" s="9"/>
      <c r="F93" s="10">
        <v>106840</v>
      </c>
      <c r="G93" s="12"/>
      <c r="H93" s="12"/>
      <c r="I93" s="86" t="s">
        <v>762</v>
      </c>
      <c r="J93" s="87"/>
      <c r="K93" s="88"/>
      <c r="L93" s="27"/>
      <c r="M93" s="28"/>
      <c r="N93" s="29"/>
    </row>
    <row r="94" spans="1:14" x14ac:dyDescent="0.3">
      <c r="A94" s="9"/>
      <c r="B94" s="9" t="s">
        <v>775</v>
      </c>
      <c r="C94" s="9"/>
      <c r="D94" s="9"/>
      <c r="E94" s="9" t="s">
        <v>600</v>
      </c>
      <c r="F94" s="10"/>
      <c r="G94" s="12"/>
      <c r="H94" s="12"/>
      <c r="I94" s="10"/>
      <c r="J94" s="10"/>
      <c r="K94" s="10"/>
      <c r="L94" s="27"/>
      <c r="M94" s="28"/>
      <c r="N94" s="12"/>
    </row>
    <row r="95" spans="1:14" x14ac:dyDescent="0.3">
      <c r="A95" s="9"/>
      <c r="B95" s="9"/>
      <c r="C95" s="9"/>
      <c r="D95" s="9"/>
      <c r="E95" s="9"/>
      <c r="F95" s="10"/>
      <c r="G95" s="12"/>
      <c r="H95" s="12"/>
      <c r="I95" s="10"/>
      <c r="J95" s="10"/>
      <c r="K95" s="10"/>
      <c r="L95" s="27"/>
      <c r="M95" s="28"/>
      <c r="N95" s="12"/>
    </row>
    <row r="96" spans="1:14" x14ac:dyDescent="0.3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4" x14ac:dyDescent="0.3">
      <c r="A97" s="12"/>
      <c r="B97" s="12"/>
      <c r="C97" s="12"/>
      <c r="D97" s="54"/>
      <c r="E97" s="54"/>
      <c r="F97" s="17"/>
      <c r="G97" s="12"/>
      <c r="H97" s="12"/>
      <c r="I97" s="12"/>
      <c r="J97" s="12"/>
      <c r="K97" s="12"/>
      <c r="L97" s="12"/>
      <c r="M97" s="12"/>
      <c r="N97" s="12"/>
    </row>
    <row r="98" spans="1:14" x14ac:dyDescent="0.3">
      <c r="A98" s="12"/>
      <c r="B98" s="12"/>
      <c r="C98" s="12"/>
      <c r="D98" s="54"/>
      <c r="E98" s="54"/>
      <c r="F98" s="17"/>
      <c r="G98" s="12"/>
      <c r="H98" s="12"/>
      <c r="I98" s="12"/>
      <c r="J98" s="12"/>
      <c r="K98" s="12"/>
      <c r="L98" s="12"/>
      <c r="M98" s="12"/>
      <c r="N98" s="12"/>
    </row>
    <row r="99" spans="1:14" x14ac:dyDescent="0.3">
      <c r="D99" s="75"/>
      <c r="E99" s="75"/>
      <c r="F99" s="71"/>
    </row>
    <row r="100" spans="1:14" x14ac:dyDescent="0.3">
      <c r="F100" s="71"/>
    </row>
    <row r="101" spans="1:14" x14ac:dyDescent="0.3">
      <c r="F101" s="71"/>
    </row>
    <row r="102" spans="1:14" x14ac:dyDescent="0.3">
      <c r="F102" s="71"/>
    </row>
    <row r="104" spans="1:14" x14ac:dyDescent="0.3">
      <c r="J104" s="71"/>
    </row>
    <row r="105" spans="1:14" x14ac:dyDescent="0.3">
      <c r="F105" s="71"/>
      <c r="H105" s="71"/>
      <c r="I105" s="71"/>
      <c r="J105" s="71"/>
    </row>
    <row r="106" spans="1:14" x14ac:dyDescent="0.3">
      <c r="J106" s="71"/>
    </row>
    <row r="107" spans="1:14" x14ac:dyDescent="0.3">
      <c r="J107" s="71"/>
    </row>
    <row r="108" spans="1:14" x14ac:dyDescent="0.3">
      <c r="H108" s="71"/>
      <c r="I108" s="71"/>
    </row>
    <row r="118" spans="6:9" x14ac:dyDescent="0.3">
      <c r="F118" t="s">
        <v>76</v>
      </c>
      <c r="G118" s="71" t="e">
        <f>#REF!+F26+F1220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</row>
    <row r="119" spans="6:9" x14ac:dyDescent="0.3">
      <c r="F119" s="71" t="s">
        <v>94</v>
      </c>
      <c r="G119" s="71" t="e">
        <f>#REF!+#REF!+#REF!+#REF!+#REF!+#REF!+#REF!+#REF!+#REF!+#REF!+#REF!+#REF!+#REF!+#REF!+#REF!+#REF!+#REF!+#REF!+#REF!+#REF!+#REF!+#REF!+#REF!+#REF!+#REF!+#REF!+#REF!+#REF!+#REF!+#REF!+#REF!+#REF!</f>
        <v>#REF!</v>
      </c>
    </row>
    <row r="120" spans="6:9" x14ac:dyDescent="0.3">
      <c r="F120" t="s">
        <v>103</v>
      </c>
      <c r="G120" s="71" t="e">
        <f>#REF!+#REF!+#REF!+#REF!+#REF!+#REF!+#REF!+#REF!+#REF!+#REF!+#REF!+#REF!</f>
        <v>#REF!</v>
      </c>
    </row>
    <row r="121" spans="6:9" x14ac:dyDescent="0.3">
      <c r="F121" t="s">
        <v>138</v>
      </c>
      <c r="G121" s="71" t="e">
        <f>#REF!+#REF!++#REF!+#REF!+#REF!+#REF!</f>
        <v>#REF!</v>
      </c>
    </row>
    <row r="122" spans="6:9" x14ac:dyDescent="0.3">
      <c r="F122" t="s">
        <v>110</v>
      </c>
      <c r="G122" s="71" t="e">
        <f>#REF!+#REF!+#REF!+#REF!+#REF!+#REF!+#REF!+#REF!+#REF!+#REF!+#REF!+#REF!+#REF!+#REF!+#REF!+#REF!+#REF!+#REF!+#REF!</f>
        <v>#REF!</v>
      </c>
      <c r="I122" s="71" t="e">
        <f>G118+G119+G120+G121+G122</f>
        <v>#REF!</v>
      </c>
    </row>
    <row r="125" spans="6:9" x14ac:dyDescent="0.3">
      <c r="F125" s="74" t="s">
        <v>145</v>
      </c>
      <c r="G125" s="71" t="e">
        <f>#REF!+#REF!+#REF!+#REF!+#REF!+#REF!+#REF!+#REF!+#REF!+#REF!+#REF!+#REF!+#REF!+#REF!+#REF!+#REF!+#REF!+#REF!+#REF!+#REF!+#REF!+#REF!+#REF!</f>
        <v>#REF!</v>
      </c>
    </row>
    <row r="126" spans="6:9" x14ac:dyDescent="0.3">
      <c r="F126" s="74" t="s">
        <v>81</v>
      </c>
      <c r="G126" s="71" t="e">
        <f>#REF!+#REF!+#REF!+#REF!+#REF!+#REF!+#REF!+#REF!+#REF!+#REF!+#REF!+#REF!+#REF!+#REF!+#REF!+#REF!+#REF!+#REF!+#REF!</f>
        <v>#REF!</v>
      </c>
    </row>
    <row r="127" spans="6:9" x14ac:dyDescent="0.3">
      <c r="F127" s="74" t="s">
        <v>95</v>
      </c>
      <c r="G127" s="71" t="e">
        <f>#REF!+#REF!+#REF!+#REF!+#REF!+#REF!+#REF!+#REF!+#REF!+#REF!+#REF!+#REF!</f>
        <v>#REF!</v>
      </c>
    </row>
    <row r="128" spans="6:9" x14ac:dyDescent="0.3">
      <c r="F128" s="74" t="s">
        <v>113</v>
      </c>
      <c r="G128" s="71" t="e">
        <f>#REF!+#REF!+#REF!+#REF!+#REF!+#REF!+#REF!+#REF!+#REF!+#REF!+#REF!+#REF!+#REF!+#REF!+#REF!+#REF!+#REF!+#REF!+#REF!+#REF!+#REF!+#REF!</f>
        <v>#REF!</v>
      </c>
    </row>
    <row r="129" spans="6:9" x14ac:dyDescent="0.3">
      <c r="F129" s="74" t="s">
        <v>87</v>
      </c>
      <c r="G129" s="71" t="e">
        <f>#REF!+#REF!+#REF!+#REF!+#REF!</f>
        <v>#REF!</v>
      </c>
    </row>
    <row r="130" spans="6:9" x14ac:dyDescent="0.3">
      <c r="F130" s="74" t="s">
        <v>104</v>
      </c>
      <c r="G130" s="71" t="e">
        <f>#REF!+#REF!+#REF!+#REF!+#REF!+#REF!</f>
        <v>#REF!</v>
      </c>
      <c r="I130" s="71"/>
    </row>
    <row r="131" spans="6:9" x14ac:dyDescent="0.3">
      <c r="F131" t="s">
        <v>469</v>
      </c>
      <c r="G131" s="71" t="e">
        <f>#REF!+#REF!+#REF!</f>
        <v>#REF!</v>
      </c>
    </row>
    <row r="132" spans="6:9" x14ac:dyDescent="0.3">
      <c r="F132" s="74" t="s">
        <v>538</v>
      </c>
      <c r="G132" s="71" t="e">
        <f>#REF!+#REF!+139+#REF!</f>
        <v>#REF!</v>
      </c>
    </row>
  </sheetData>
  <mergeCells count="9">
    <mergeCell ref="C63:E63"/>
    <mergeCell ref="G73:I73"/>
    <mergeCell ref="I93:K93"/>
    <mergeCell ref="C2:E2"/>
    <mergeCell ref="C9:E9"/>
    <mergeCell ref="C21:E21"/>
    <mergeCell ref="C32:E32"/>
    <mergeCell ref="C44:E44"/>
    <mergeCell ref="C55:E55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021405E-1F74-4E94-A2BB-294108596B05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Designer Totals Macro</vt:lpstr>
      <vt:lpstr>Designers</vt:lpstr>
      <vt:lpstr>SBC Original Data</vt:lpstr>
      <vt:lpstr>SBC</vt:lpstr>
      <vt:lpstr>Total Output Data</vt:lpstr>
      <vt:lpstr>James's 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Pfaff</dc:creator>
  <cp:lastModifiedBy>BJ Rutledge</cp:lastModifiedBy>
  <dcterms:created xsi:type="dcterms:W3CDTF">2023-01-12T22:32:23Z</dcterms:created>
  <dcterms:modified xsi:type="dcterms:W3CDTF">2024-12-26T18:15:22Z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anSwiftJobName">
    <vt:lpwstr/>
  </property>
  <property fmtid="{D5CDD505-2E9C-101B-9397-08002B2CF9AE}" pid="3" name="PlanSwiftJobGuid">
    <vt:lpwstr/>
  </property>
  <property fmtid="{D5CDD505-2E9C-101B-9397-08002B2CF9AE}" pid="4" name="LinkedDataId">
    <vt:lpwstr>{0021405E-1F74-4E94-A2BB-294108596B05}</vt:lpwstr>
  </property>
</Properties>
</file>